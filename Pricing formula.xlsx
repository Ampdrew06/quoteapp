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20" yWindow="-120" windowWidth="29040" windowHeight="17205"/>
  </bookViews>
  <sheets>
    <sheet name="Sheet1" sheetId="1" r:id="rId1"/>
  </sheet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53" i="1"/>
  <c r="D52"/>
</calcChain>
</file>

<file path=xl/sharedStrings.xml><?xml version="1.0" encoding="utf-8"?>
<sst xmlns="http://schemas.openxmlformats.org/spreadsheetml/2006/main" count="54" uniqueCount="50">
  <si>
    <t>Day_rate</t>
  </si>
  <si>
    <t>Complexity</t>
  </si>
  <si>
    <t>Labour_cost</t>
  </si>
  <si>
    <t>Notes</t>
  </si>
  <si>
    <t>Fields in green are variables that should be added to a front end page that can be edited by the Superuser</t>
  </si>
  <si>
    <t>Fields in blue can be hardcoded values or formulas that will not change</t>
  </si>
  <si>
    <t>Square_metres</t>
  </si>
  <si>
    <t>Complexity is a multiplier based on the following formula</t>
  </si>
  <si>
    <t>Edwardian</t>
  </si>
  <si>
    <t>Victorian3</t>
  </si>
  <si>
    <t>Victorian5</t>
  </si>
  <si>
    <t>Gable</t>
  </si>
  <si>
    <t>Hipped_LT1</t>
  </si>
  <si>
    <t>Hipped_LT2</t>
  </si>
  <si>
    <t>Roof_Type</t>
  </si>
  <si>
    <t>Roof_Type_Factor</t>
  </si>
  <si>
    <t>Optional Features</t>
  </si>
  <si>
    <t>Roof_type_Factor is taken from the following table</t>
  </si>
  <si>
    <t>Option</t>
  </si>
  <si>
    <t>Option_Factor</t>
  </si>
  <si>
    <t>Tile Type</t>
  </si>
  <si>
    <t>Roof Vent</t>
  </si>
  <si>
    <t>Fixed Unit</t>
  </si>
  <si>
    <t>Reinforced Ring Beam</t>
  </si>
  <si>
    <t>Average_Metres</t>
  </si>
  <si>
    <t>Labour_cost is calculated from Day Rate * Complexity * (Square_metres/Average_Metres)</t>
  </si>
  <si>
    <t>TileSystem</t>
  </si>
  <si>
    <t>Britmet</t>
  </si>
  <si>
    <t>Liteslate</t>
  </si>
  <si>
    <t>TileSystem_factor</t>
  </si>
  <si>
    <t>Option_Qty</t>
  </si>
  <si>
    <t>Roof_Type_Factor + (Option_Factor * Option_Qty) + TileSystem_Factor</t>
  </si>
  <si>
    <t>The app at the moment is based on one roof type: Lean To. However, there are other types that we will add over time. See the table of Roof_Types above. If a variable name for the roof_type already exists, then use that as the definition within the tables</t>
  </si>
  <si>
    <t xml:space="preserve">Similarly, there will already be a value for the square metreage of the roof, so use this same variable in the formula where I have called it Square_metres. </t>
  </si>
  <si>
    <t>LiteSlate</t>
  </si>
  <si>
    <t xml:space="preserve">Input Variables: </t>
  </si>
  <si>
    <t xml:space="preserve">As way of an example of how to arrive at the Labour_Cost value, for a Lean to roof with a square metreage of 12m with LiteSlate tiles, using Excel logic: </t>
  </si>
  <si>
    <t>Formulas:</t>
  </si>
  <si>
    <t>Labour_cost:</t>
  </si>
  <si>
    <t>Lean_To</t>
  </si>
  <si>
    <t>Formula above:</t>
  </si>
  <si>
    <t xml:space="preserve">We will add some options to the app in due course, see second table, and these should be considered in the pricing formula so that it will be compatible in the future when we add them. </t>
  </si>
  <si>
    <t>Valley Gutter</t>
  </si>
  <si>
    <t>Victorian_Hipped_LT</t>
  </si>
  <si>
    <t>Double_Hipped_Edwardian</t>
  </si>
  <si>
    <t>Edwardian_P-Shape_LH</t>
  </si>
  <si>
    <t>Edwardian_P-Shape_RH</t>
  </si>
  <si>
    <t>Victorian_P-Shape_RH</t>
  </si>
  <si>
    <t>Victorian_P-Shape_LH</t>
  </si>
  <si>
    <t>Freehand</t>
  </si>
</sst>
</file>

<file path=xl/styles.xml><?xml version="1.0" encoding="utf-8"?>
<styleSheet xmlns="http://schemas.openxmlformats.org/spreadsheetml/2006/main">
  <fonts count="3">
    <font>
      <sz val="11"/>
      <color theme="1"/>
      <name val="Aptos Narrow"/>
      <family val="2"/>
      <scheme val="minor"/>
    </font>
    <font>
      <sz val="8"/>
      <name val="Aptos Narrow"/>
      <family val="2"/>
      <scheme val="minor"/>
    </font>
    <font>
      <u/>
      <sz val="11"/>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
    <xf numFmtId="0" fontId="0" fillId="0" borderId="0" xfId="0"/>
    <xf numFmtId="0" fontId="0" fillId="2" borderId="0" xfId="0" applyFill="1"/>
    <xf numFmtId="0" fontId="0" fillId="3" borderId="0" xfId="0" applyFill="1"/>
    <xf numFmtId="0" fontId="0" fillId="0" borderId="1" xfId="0" applyBorder="1"/>
    <xf numFmtId="0" fontId="0" fillId="2" borderId="1" xfId="0" applyFill="1" applyBorder="1"/>
    <xf numFmtId="0" fontId="2" fillId="0" borderId="0" xfId="0" applyFont="1"/>
    <xf numFmtId="0" fontId="0" fillId="2"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dimension ref="C1:K53"/>
  <sheetViews>
    <sheetView tabSelected="1" topLeftCell="A16" workbookViewId="0">
      <selection activeCell="G23" sqref="G23"/>
    </sheetView>
  </sheetViews>
  <sheetFormatPr defaultRowHeight="14.25"/>
  <cols>
    <col min="3" max="3" width="14.875" customWidth="1"/>
    <col min="5" max="5" width="23.125" customWidth="1"/>
    <col min="6" max="6" width="16.375" bestFit="1" customWidth="1"/>
    <col min="7" max="7" width="14.125" bestFit="1" customWidth="1"/>
    <col min="8" max="8" width="14.75" bestFit="1" customWidth="1"/>
    <col min="11" max="11" width="95" bestFit="1" customWidth="1"/>
  </cols>
  <sheetData>
    <row r="1" spans="3:11">
      <c r="C1" t="s">
        <v>25</v>
      </c>
    </row>
    <row r="2" spans="3:11">
      <c r="C2" t="s">
        <v>2</v>
      </c>
    </row>
    <row r="3" spans="3:11">
      <c r="C3" s="2"/>
    </row>
    <row r="4" spans="3:11">
      <c r="E4" t="s">
        <v>0</v>
      </c>
      <c r="F4" t="s">
        <v>1</v>
      </c>
      <c r="G4" t="s">
        <v>6</v>
      </c>
      <c r="H4" t="s">
        <v>24</v>
      </c>
    </row>
    <row r="5" spans="3:11">
      <c r="E5" s="1">
        <v>300</v>
      </c>
      <c r="F5" s="2"/>
      <c r="H5" s="2">
        <v>15</v>
      </c>
    </row>
    <row r="9" spans="3:11">
      <c r="E9" t="s">
        <v>7</v>
      </c>
      <c r="K9" t="s">
        <v>3</v>
      </c>
    </row>
    <row r="10" spans="3:11">
      <c r="E10" t="s">
        <v>31</v>
      </c>
      <c r="K10" s="1" t="s">
        <v>4</v>
      </c>
    </row>
    <row r="11" spans="3:11">
      <c r="K11" s="2" t="s">
        <v>5</v>
      </c>
    </row>
    <row r="12" spans="3:11">
      <c r="D12" t="s">
        <v>17</v>
      </c>
    </row>
    <row r="13" spans="3:11">
      <c r="E13" s="3" t="s">
        <v>14</v>
      </c>
      <c r="F13" s="3" t="s">
        <v>15</v>
      </c>
    </row>
    <row r="14" spans="3:11">
      <c r="E14" s="3" t="s">
        <v>39</v>
      </c>
      <c r="F14" s="4">
        <v>1</v>
      </c>
    </row>
    <row r="15" spans="3:11">
      <c r="E15" s="3" t="s">
        <v>12</v>
      </c>
      <c r="F15" s="4">
        <v>1.2</v>
      </c>
    </row>
    <row r="16" spans="3:11">
      <c r="E16" s="3" t="s">
        <v>13</v>
      </c>
      <c r="F16" s="4">
        <v>1.3</v>
      </c>
    </row>
    <row r="17" spans="4:7">
      <c r="E17" s="3" t="s">
        <v>8</v>
      </c>
      <c r="F17" s="4">
        <v>1.5</v>
      </c>
    </row>
    <row r="18" spans="4:7">
      <c r="E18" s="3" t="s">
        <v>9</v>
      </c>
      <c r="F18" s="4">
        <v>1.6</v>
      </c>
    </row>
    <row r="19" spans="4:7">
      <c r="E19" s="3" t="s">
        <v>10</v>
      </c>
      <c r="F19" s="4">
        <v>1.7</v>
      </c>
    </row>
    <row r="20" spans="4:7">
      <c r="E20" s="3" t="s">
        <v>11</v>
      </c>
      <c r="F20" s="4">
        <v>1.3</v>
      </c>
    </row>
    <row r="21" spans="4:7">
      <c r="E21" s="3" t="s">
        <v>44</v>
      </c>
      <c r="F21" s="4">
        <v>2</v>
      </c>
    </row>
    <row r="22" spans="4:7">
      <c r="E22" s="3" t="s">
        <v>43</v>
      </c>
      <c r="F22" s="4">
        <v>1.6</v>
      </c>
    </row>
    <row r="23" spans="4:7">
      <c r="E23" s="3" t="s">
        <v>45</v>
      </c>
      <c r="F23" s="4">
        <v>2.2000000000000002</v>
      </c>
    </row>
    <row r="24" spans="4:7">
      <c r="E24" s="3" t="s">
        <v>46</v>
      </c>
      <c r="F24" s="4">
        <v>2.2000000000000002</v>
      </c>
    </row>
    <row r="25" spans="4:7">
      <c r="E25" s="3" t="s">
        <v>47</v>
      </c>
      <c r="F25" s="4">
        <v>2.2000000000000002</v>
      </c>
    </row>
    <row r="26" spans="4:7">
      <c r="E26" s="3" t="s">
        <v>48</v>
      </c>
      <c r="F26" s="4">
        <v>2.2000000000000002</v>
      </c>
    </row>
    <row r="27" spans="4:7">
      <c r="E27" s="3" t="s">
        <v>49</v>
      </c>
      <c r="F27" s="4">
        <v>2</v>
      </c>
    </row>
    <row r="29" spans="4:7">
      <c r="D29" t="s">
        <v>16</v>
      </c>
    </row>
    <row r="30" spans="4:7">
      <c r="E30" s="3" t="s">
        <v>18</v>
      </c>
      <c r="F30" s="3" t="s">
        <v>19</v>
      </c>
      <c r="G30" s="3" t="s">
        <v>30</v>
      </c>
    </row>
    <row r="31" spans="4:7">
      <c r="E31" s="3" t="s">
        <v>21</v>
      </c>
      <c r="F31" s="4">
        <v>0.2</v>
      </c>
      <c r="G31" s="3">
        <v>1</v>
      </c>
    </row>
    <row r="32" spans="4:7">
      <c r="E32" s="3" t="s">
        <v>22</v>
      </c>
      <c r="F32" s="4">
        <v>0.3</v>
      </c>
      <c r="G32" s="3">
        <v>1</v>
      </c>
    </row>
    <row r="33" spans="3:7">
      <c r="E33" s="3" t="s">
        <v>23</v>
      </c>
      <c r="F33" s="4">
        <v>0.2</v>
      </c>
      <c r="G33" s="3">
        <v>1</v>
      </c>
    </row>
    <row r="34" spans="3:7">
      <c r="E34" s="3" t="s">
        <v>42</v>
      </c>
      <c r="F34" s="4">
        <v>0.2</v>
      </c>
      <c r="G34" s="3">
        <v>1</v>
      </c>
    </row>
    <row r="35" spans="3:7">
      <c r="E35" s="3"/>
      <c r="F35" s="6"/>
      <c r="G35" s="3"/>
    </row>
    <row r="37" spans="3:7">
      <c r="D37" t="s">
        <v>20</v>
      </c>
    </row>
    <row r="38" spans="3:7">
      <c r="E38" s="3" t="s">
        <v>26</v>
      </c>
      <c r="F38" s="3" t="s">
        <v>29</v>
      </c>
    </row>
    <row r="39" spans="3:7">
      <c r="E39" s="3" t="s">
        <v>27</v>
      </c>
      <c r="F39" s="4">
        <v>0</v>
      </c>
    </row>
    <row r="40" spans="3:7">
      <c r="E40" s="3" t="s">
        <v>28</v>
      </c>
      <c r="F40" s="4">
        <v>-0.2</v>
      </c>
    </row>
    <row r="43" spans="3:7">
      <c r="D43" t="s">
        <v>32</v>
      </c>
    </row>
    <row r="44" spans="3:7">
      <c r="D44" t="s">
        <v>33</v>
      </c>
    </row>
    <row r="45" spans="3:7">
      <c r="D45" t="s">
        <v>41</v>
      </c>
    </row>
    <row r="46" spans="3:7">
      <c r="D46" t="s">
        <v>36</v>
      </c>
    </row>
    <row r="47" spans="3:7">
      <c r="C47" s="5" t="s">
        <v>35</v>
      </c>
    </row>
    <row r="48" spans="3:7">
      <c r="C48" t="s">
        <v>14</v>
      </c>
      <c r="D48" t="s">
        <v>39</v>
      </c>
    </row>
    <row r="49" spans="3:4">
      <c r="C49" t="s">
        <v>26</v>
      </c>
      <c r="D49" t="s">
        <v>34</v>
      </c>
    </row>
    <row r="50" spans="3:4">
      <c r="C50" t="s">
        <v>6</v>
      </c>
      <c r="D50">
        <v>12</v>
      </c>
    </row>
    <row r="51" spans="3:4">
      <c r="C51" s="5" t="s">
        <v>37</v>
      </c>
    </row>
    <row r="52" spans="3:4">
      <c r="C52" t="s">
        <v>38</v>
      </c>
      <c r="D52">
        <f>(E5*(VLOOKUP(D48,$E$14:$F$20,2,FALSE)+VLOOKUP(D49,$E$39:$F$40,2,FALSE))*(D50/H5))</f>
        <v>192</v>
      </c>
    </row>
    <row r="53" spans="3:4">
      <c r="C53" t="s">
        <v>40</v>
      </c>
      <c r="D53" t="str">
        <f>"=(E5*(VLOOKUP(D39,$E$14:$F$20,2,FALSE)+VLOOKUP(D40,$E$30:$F$31,2,FALSE))*(D41/H5))"</f>
        <v>=(E5*(VLOOKUP(D39,$E$14:$F$20,2,FALSE)+VLOOKUP(D40,$E$30:$F$31,2,FALSE))*(D41/H5))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Robinson</dc:creator>
  <cp:lastModifiedBy>Paul</cp:lastModifiedBy>
  <dcterms:created xsi:type="dcterms:W3CDTF">2026-04-27T10:48:23Z</dcterms:created>
  <dcterms:modified xsi:type="dcterms:W3CDTF">2026-04-28T06:20:12Z</dcterms:modified>
</cp:coreProperties>
</file>