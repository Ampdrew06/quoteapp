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75" windowWidth="28755" windowHeight="12600"/>
  </bookViews>
  <sheets>
    <sheet name="Idiot List" sheetId="1" r:id="rId1"/>
  </sheets>
  <externalReferences>
    <externalReference r:id="rId2"/>
  </externalReferences>
  <definedNames>
    <definedName name="_xleta.IF" hidden="1" xlm="1">#NAME?</definedName>
    <definedName name="_xleta.PI" hidden="1" xlm="1">#NAME?</definedName>
    <definedName name="_xleta.VLOOKUP" hidden="1" xlm="1">#NAME?</definedName>
    <definedName name="_xlnm.Print_Area" localSheetId="0">'Idiot List'!$A$1:$G$59</definedName>
  </definedNames>
  <calcPr calcId="125725" iterate="1"/>
</workbook>
</file>

<file path=xl/calcChain.xml><?xml version="1.0" encoding="utf-8"?>
<calcChain xmlns="http://schemas.openxmlformats.org/spreadsheetml/2006/main">
  <c r="N119" i="1"/>
  <c r="N118"/>
  <c r="I107"/>
  <c r="I106"/>
  <c r="I105"/>
  <c r="M104"/>
  <c r="I104"/>
  <c r="M103"/>
  <c r="I103"/>
  <c r="M102"/>
  <c r="I102"/>
  <c r="M101"/>
  <c r="I101"/>
  <c r="B101"/>
  <c r="M100"/>
  <c r="I100"/>
  <c r="M99"/>
  <c r="I99"/>
  <c r="I98"/>
  <c r="I97"/>
  <c r="I96"/>
  <c r="I95"/>
  <c r="B91"/>
  <c r="N92" s="1"/>
  <c r="B89"/>
  <c r="K90" s="1"/>
  <c r="B88"/>
  <c r="K89" s="1"/>
  <c r="B87"/>
  <c r="N88" s="1"/>
  <c r="M83"/>
  <c r="M81"/>
  <c r="K80"/>
  <c r="B80"/>
  <c r="K81" s="1"/>
  <c r="K79"/>
  <c r="B79"/>
  <c r="B78"/>
  <c r="N77"/>
  <c r="M77"/>
  <c r="B77"/>
  <c r="K78" s="1"/>
  <c r="M76"/>
  <c r="B76"/>
  <c r="D76" s="1"/>
  <c r="M75"/>
  <c r="N75" s="1"/>
  <c r="K75"/>
  <c r="B75"/>
  <c r="N76" s="1"/>
  <c r="B74"/>
  <c r="B73"/>
  <c r="K82" s="1"/>
  <c r="N63"/>
  <c r="K62"/>
  <c r="B62"/>
  <c r="B61"/>
  <c r="F59"/>
  <c r="B59"/>
  <c r="K58" s="1"/>
  <c r="F58"/>
  <c r="K59" s="1"/>
  <c r="B58"/>
  <c r="K74" s="1"/>
  <c r="B57"/>
  <c r="K66" s="1"/>
  <c r="N55"/>
  <c r="B55"/>
  <c r="K64" s="1"/>
  <c r="B54"/>
  <c r="K63" s="1"/>
  <c r="B53"/>
  <c r="N62" s="1"/>
  <c r="F52"/>
  <c r="K68" s="1"/>
  <c r="B52"/>
  <c r="N61" s="1"/>
  <c r="F51"/>
  <c r="K67" s="1"/>
  <c r="C50"/>
  <c r="B49"/>
  <c r="K57" s="1"/>
  <c r="B48"/>
  <c r="K56" s="1"/>
  <c r="K47"/>
  <c r="B47"/>
  <c r="K55" s="1"/>
  <c r="N46"/>
  <c r="B46"/>
  <c r="K48" s="1"/>
  <c r="B45"/>
  <c r="K54" s="1"/>
  <c r="N44"/>
  <c r="M42"/>
  <c r="M41"/>
  <c r="K40"/>
  <c r="K38"/>
  <c r="B37"/>
  <c r="N45" s="1"/>
  <c r="K36"/>
  <c r="B36"/>
  <c r="K44" s="1"/>
  <c r="B35"/>
  <c r="K43" s="1"/>
  <c r="B34"/>
  <c r="K42" s="1"/>
  <c r="F33"/>
  <c r="K46" s="1"/>
  <c r="K32"/>
  <c r="B32"/>
  <c r="B31"/>
  <c r="B43" s="1"/>
  <c r="K53" s="1"/>
  <c r="N30"/>
  <c r="B30"/>
  <c r="N32" s="1"/>
  <c r="N29"/>
  <c r="K29"/>
  <c r="F29"/>
  <c r="B29"/>
  <c r="N31" s="1"/>
  <c r="B28"/>
  <c r="K30" s="1"/>
  <c r="B27"/>
  <c r="K28" s="1"/>
  <c r="F26"/>
  <c r="B26"/>
  <c r="K27" s="1"/>
  <c r="F25"/>
  <c r="N37" s="1"/>
  <c r="B25"/>
  <c r="N26" s="1"/>
  <c r="F24"/>
  <c r="K37" s="1"/>
  <c r="B24"/>
  <c r="N25" s="1"/>
  <c r="I23"/>
  <c r="F23"/>
  <c r="K35" s="1"/>
  <c r="B23"/>
  <c r="N24" s="1"/>
  <c r="I22"/>
  <c r="F82" s="1"/>
  <c r="F22"/>
  <c r="N34" s="1"/>
  <c r="B22"/>
  <c r="N23" s="1"/>
  <c r="N21"/>
  <c r="F21"/>
  <c r="K33" s="1"/>
  <c r="B21"/>
  <c r="K22" s="1"/>
  <c r="F20"/>
  <c r="B20"/>
  <c r="N17" s="1"/>
  <c r="B19"/>
  <c r="K21" s="1"/>
  <c r="K18"/>
  <c r="B18"/>
  <c r="K20" s="1"/>
  <c r="G17"/>
  <c r="F17"/>
  <c r="N19" s="1"/>
  <c r="D17"/>
  <c r="B17"/>
  <c r="K19" s="1"/>
  <c r="M16"/>
  <c r="N16" s="1"/>
  <c r="B16"/>
  <c r="K16" s="1"/>
  <c r="B15"/>
  <c r="B84" s="1"/>
  <c r="M14"/>
  <c r="B14"/>
  <c r="N14" s="1"/>
  <c r="M13"/>
  <c r="B13"/>
  <c r="B42" s="1"/>
  <c r="K52" s="1"/>
  <c r="M12"/>
  <c r="B12"/>
  <c r="N12" s="1"/>
  <c r="M11"/>
  <c r="B11"/>
  <c r="N11" s="1"/>
  <c r="M10"/>
  <c r="I10"/>
  <c r="B8" s="1"/>
  <c r="F10"/>
  <c r="K111" s="1"/>
  <c r="B10"/>
  <c r="N10" s="1"/>
  <c r="K9"/>
  <c r="I9"/>
  <c r="B51" s="1"/>
  <c r="E9"/>
  <c r="N110" s="1"/>
  <c r="B9"/>
  <c r="N9" s="1"/>
  <c r="I8"/>
  <c r="B6"/>
  <c r="F5"/>
  <c r="B5"/>
  <c r="B86" s="1"/>
  <c r="F4"/>
  <c r="B4"/>
  <c r="F3"/>
  <c r="B3"/>
  <c r="Q1"/>
  <c r="K60" l="1"/>
  <c r="N60"/>
  <c r="B56"/>
  <c r="K8"/>
  <c r="N8"/>
  <c r="K87"/>
  <c r="N87"/>
  <c r="B85"/>
  <c r="K85"/>
  <c r="N85"/>
  <c r="K17"/>
  <c r="N22"/>
  <c r="K23"/>
  <c r="P32" s="1"/>
  <c r="K24"/>
  <c r="K25"/>
  <c r="K26"/>
  <c r="N27"/>
  <c r="K31"/>
  <c r="I33"/>
  <c r="K34"/>
  <c r="P39" s="1"/>
  <c r="N35"/>
  <c r="K39"/>
  <c r="N42"/>
  <c r="B44"/>
  <c r="K45"/>
  <c r="I51"/>
  <c r="N58"/>
  <c r="K61"/>
  <c r="N64"/>
  <c r="N66"/>
  <c r="N68"/>
  <c r="K76"/>
  <c r="K77"/>
  <c r="K88"/>
  <c r="N89"/>
  <c r="K92"/>
  <c r="B96"/>
  <c r="K13"/>
  <c r="K10"/>
  <c r="K11"/>
  <c r="K12"/>
  <c r="N15"/>
  <c r="N28"/>
  <c r="B39"/>
  <c r="K49" s="1"/>
  <c r="B40"/>
  <c r="N43"/>
  <c r="B82"/>
  <c r="K110"/>
  <c r="N20"/>
  <c r="B33"/>
  <c r="N33"/>
  <c r="F53"/>
  <c r="N67"/>
  <c r="N90"/>
  <c r="N13"/>
  <c r="N39"/>
  <c r="K69" l="1"/>
  <c r="F54"/>
  <c r="K70" s="1"/>
  <c r="F57"/>
  <c r="K73" s="1"/>
  <c r="F56"/>
  <c r="K72" s="1"/>
  <c r="F55"/>
  <c r="K71" s="1"/>
  <c r="K50"/>
  <c r="B41"/>
  <c r="K51" s="1"/>
  <c r="P58" s="1"/>
  <c r="B97"/>
  <c r="B98"/>
  <c r="F13" s="1"/>
  <c r="K41"/>
  <c r="P47" s="1"/>
  <c r="N41"/>
  <c r="O6" s="1"/>
  <c r="F6" s="1"/>
  <c r="K86"/>
  <c r="N86"/>
  <c r="K65"/>
  <c r="P73" s="1"/>
  <c r="N65"/>
  <c r="B99"/>
  <c r="K83"/>
  <c r="P92" s="1"/>
  <c r="P21"/>
  <c r="N83"/>
  <c r="K5" l="1"/>
  <c r="N112"/>
</calcChain>
</file>

<file path=xl/comments1.xml><?xml version="1.0" encoding="utf-8"?>
<comments xmlns="http://schemas.openxmlformats.org/spreadsheetml/2006/main">
  <authors>
    <author>Mark Robinson</author>
  </authors>
  <commentList>
    <comment ref="B56" authorId="0">
      <text>
        <r>
          <rPr>
            <b/>
            <sz val="9"/>
            <color indexed="81"/>
            <rFont val="Tahoma"/>
            <family val="2"/>
          </rPr>
          <t>Mark Robinson:</t>
        </r>
        <r>
          <rPr>
            <sz val="9"/>
            <color indexed="81"/>
            <rFont val="Tahoma"/>
            <family val="2"/>
          </rPr>
          <t xml:space="preserve">
1 bracket every 600mm of gutter
</t>
        </r>
      </text>
    </comment>
  </commentList>
</comments>
</file>

<file path=xl/sharedStrings.xml><?xml version="1.0" encoding="utf-8"?>
<sst xmlns="http://schemas.openxmlformats.org/spreadsheetml/2006/main" count="293" uniqueCount="172">
  <si>
    <t xml:space="preserve"> Timberlite Roof checklist</t>
  </si>
  <si>
    <t>Customer</t>
  </si>
  <si>
    <t>Delivery date</t>
  </si>
  <si>
    <t>Ref</t>
  </si>
  <si>
    <t>Tile type</t>
  </si>
  <si>
    <t>Roof type</t>
  </si>
  <si>
    <t>Tile colour</t>
  </si>
  <si>
    <t>Total Roof Cost</t>
  </si>
  <si>
    <t>Insulation Type</t>
  </si>
  <si>
    <t>Total Weight KG</t>
  </si>
  <si>
    <t>Costs</t>
  </si>
  <si>
    <t>Extra's</t>
  </si>
  <si>
    <t>Weight</t>
  </si>
  <si>
    <t>Total kg</t>
  </si>
  <si>
    <t>(inc Plasterboards &amp; Skim)</t>
  </si>
  <si>
    <t>Checked</t>
  </si>
  <si>
    <t>Tile starter</t>
  </si>
  <si>
    <t>Lengths</t>
  </si>
  <si>
    <t>Vents required:</t>
  </si>
  <si>
    <t>int</t>
  </si>
  <si>
    <t>J Section</t>
  </si>
  <si>
    <t xml:space="preserve"> </t>
  </si>
  <si>
    <t>ext</t>
  </si>
  <si>
    <t xml:space="preserve">Ext Laths Gold </t>
  </si>
  <si>
    <t>Qty</t>
  </si>
  <si>
    <t>Box</t>
  </si>
  <si>
    <t>Ext Laths Gold (4.8m lengths)</t>
  </si>
  <si>
    <t>Int Laths Blue</t>
  </si>
  <si>
    <t>Hip Laths Green</t>
  </si>
  <si>
    <t>Hip Laths Green (m)</t>
  </si>
  <si>
    <t>Trusses</t>
  </si>
  <si>
    <t>each</t>
  </si>
  <si>
    <t>Joists Required</t>
  </si>
  <si>
    <t>Hips</t>
  </si>
  <si>
    <t>Jack Rafters</t>
  </si>
  <si>
    <t>Insulation</t>
  </si>
  <si>
    <t>Sheets</t>
  </si>
  <si>
    <t>Super Quilt Roll</t>
  </si>
  <si>
    <t>12m</t>
  </si>
  <si>
    <t>x 12m                  Total Rolls</t>
  </si>
  <si>
    <t>25mm PIR backed Plasterboard</t>
  </si>
  <si>
    <t>Membrane</t>
  </si>
  <si>
    <t>Roll</t>
  </si>
  <si>
    <t>Extra Quilt 12m</t>
  </si>
  <si>
    <t>Expanding Foam</t>
  </si>
  <si>
    <t>tin</t>
  </si>
  <si>
    <t>Super Quilt</t>
  </si>
  <si>
    <t>Sheet</t>
  </si>
  <si>
    <t>Slate Tiles:</t>
  </si>
  <si>
    <t>Shingles</t>
  </si>
  <si>
    <t>Ea</t>
  </si>
  <si>
    <t>Slates</t>
  </si>
  <si>
    <t>Hip/ridge caps</t>
  </si>
  <si>
    <t>Ridges</t>
  </si>
  <si>
    <t>Hip:</t>
  </si>
  <si>
    <t>Gable End Cap</t>
  </si>
  <si>
    <t>Hip ridge adaptor</t>
  </si>
  <si>
    <t>Ridge:</t>
  </si>
  <si>
    <t>Y adaptors</t>
  </si>
  <si>
    <t>Dry verge 2m</t>
  </si>
  <si>
    <t>5 way adaptors</t>
  </si>
  <si>
    <t>Abutment vent</t>
  </si>
  <si>
    <t>90 hip end cap</t>
  </si>
  <si>
    <t>90 deg Hip End Cap</t>
  </si>
  <si>
    <t>135 hip end caps</t>
  </si>
  <si>
    <t>Barge boards</t>
  </si>
  <si>
    <t>Lnths</t>
  </si>
  <si>
    <t>Finishing kit</t>
  </si>
  <si>
    <t>Universal Ridge Cap</t>
  </si>
  <si>
    <t>Watercourse 3m</t>
  </si>
  <si>
    <t>Plasterboard</t>
  </si>
  <si>
    <t>Fascia Colour:</t>
  </si>
  <si>
    <t>Soffit</t>
  </si>
  <si>
    <t>Gable Box (400mm Fascia)</t>
  </si>
  <si>
    <t>Ext</t>
  </si>
  <si>
    <t>Fascia</t>
  </si>
  <si>
    <t>Fascia Joint</t>
  </si>
  <si>
    <t>Box Gutter Ally Adpators</t>
  </si>
  <si>
    <t>Fascia 90 degree corners</t>
  </si>
  <si>
    <t>Fascia 135 deg corners</t>
  </si>
  <si>
    <t>Dry verge</t>
  </si>
  <si>
    <t>Polytops</t>
  </si>
  <si>
    <t>Expanding foam tape</t>
  </si>
  <si>
    <t>8m rolls</t>
  </si>
  <si>
    <t>4m rolls</t>
  </si>
  <si>
    <t>1" x 8 screw (Tiles 4x25)</t>
  </si>
  <si>
    <t>2" x 8 screws (int &amp; ext lath 4x50)</t>
  </si>
  <si>
    <t>3" x 10 screws (rafter &amp; eaves fixings 5 x 80)</t>
  </si>
  <si>
    <t>Plasterboard screws (30 per board)</t>
  </si>
  <si>
    <t>25mm PIR Plasterboard screws (30 per board)</t>
  </si>
  <si>
    <t>Concrete screws</t>
  </si>
  <si>
    <t>Fixed Unit Screws</t>
  </si>
  <si>
    <t>Gable Box</t>
  </si>
  <si>
    <t>Corner braces</t>
  </si>
  <si>
    <t>Gable A Frame Steel Strap</t>
  </si>
  <si>
    <t>Installation guide</t>
  </si>
  <si>
    <t>Expanding foam tape (4m)</t>
  </si>
  <si>
    <t>Gutter type:</t>
  </si>
  <si>
    <t>Gutter</t>
  </si>
  <si>
    <t>Gutter 90 deg corner int</t>
  </si>
  <si>
    <t>Running outlet</t>
  </si>
  <si>
    <t>Gutter 135 deg corner</t>
  </si>
  <si>
    <t>Stop end outlet</t>
  </si>
  <si>
    <t>Downpipes</t>
  </si>
  <si>
    <t>Stop ends</t>
  </si>
  <si>
    <t>Offset bends</t>
  </si>
  <si>
    <t>Unions</t>
  </si>
  <si>
    <t>Downpipe clips</t>
  </si>
  <si>
    <t>Gutter brackets</t>
  </si>
  <si>
    <t>Sq/Rd d/pipe adapter</t>
  </si>
  <si>
    <t>JP</t>
  </si>
  <si>
    <t>Gutter 90 deg corner external</t>
  </si>
  <si>
    <t>Shoe</t>
  </si>
  <si>
    <t>Plaster bead</t>
  </si>
  <si>
    <t>No</t>
  </si>
  <si>
    <t>Vent Discs</t>
  </si>
  <si>
    <t>Vent Strips</t>
  </si>
  <si>
    <t>Window Foam Tape (10m)</t>
  </si>
  <si>
    <t>Glass Area</t>
  </si>
  <si>
    <t>Number of glass units</t>
  </si>
  <si>
    <t>Gutter 90 deg corner internal</t>
  </si>
  <si>
    <t>Wallplate</t>
  </si>
  <si>
    <t>Standard Ring Beam</t>
  </si>
  <si>
    <t>mtrs</t>
  </si>
  <si>
    <t>Plaster Bead</t>
  </si>
  <si>
    <t>Reinforced Ring beam</t>
  </si>
  <si>
    <t>Ring Beam</t>
  </si>
  <si>
    <t>LT Joists</t>
  </si>
  <si>
    <t>m</t>
  </si>
  <si>
    <t>Ply Valley gutter</t>
  </si>
  <si>
    <t>Bond Adhesive</t>
  </si>
  <si>
    <t>Deck Adhesive</t>
  </si>
  <si>
    <t>Ply Valley</t>
  </si>
  <si>
    <t>Hip+intermediate Length</t>
  </si>
  <si>
    <t>metres</t>
  </si>
  <si>
    <t>Jack rafter brackets</t>
  </si>
  <si>
    <t>Jack Rafter Hook</t>
  </si>
  <si>
    <t>Jack Rafter Total length</t>
  </si>
  <si>
    <t>Spar Hook</t>
  </si>
  <si>
    <t>Boss</t>
  </si>
  <si>
    <t>Joist Hanger (Lean to)</t>
  </si>
  <si>
    <t>Joist hanger (Hipped back valley)</t>
  </si>
  <si>
    <t>Steico Joist Weight p/m (kg/m)</t>
  </si>
  <si>
    <t>Vent Costs including delivery, flashing kit and pole</t>
  </si>
  <si>
    <t>Cost</t>
  </si>
  <si>
    <t>Price</t>
  </si>
  <si>
    <t>KG</t>
  </si>
  <si>
    <t>JJI Joist Weight p/m (kg/m)</t>
  </si>
  <si>
    <t>Pole</t>
  </si>
  <si>
    <t>Total m Trusses</t>
  </si>
  <si>
    <t>550x780 pine</t>
  </si>
  <si>
    <t>Wastage</t>
  </si>
  <si>
    <t>550x980 pine</t>
  </si>
  <si>
    <t>Total JJI Meterage</t>
  </si>
  <si>
    <t>780x980 pine</t>
  </si>
  <si>
    <t>Total Joist Weight</t>
  </si>
  <si>
    <t xml:space="preserve">550x780 white </t>
  </si>
  <si>
    <t xml:space="preserve">550x980 white </t>
  </si>
  <si>
    <t>Total Glass Cost</t>
  </si>
  <si>
    <t xml:space="preserve">780x980 white </t>
  </si>
  <si>
    <t>550x780 PVC</t>
  </si>
  <si>
    <t>550x980 PVC</t>
  </si>
  <si>
    <t>780x980 PVC</t>
  </si>
  <si>
    <t>Rocker Switch</t>
  </si>
  <si>
    <t>ElectricMotor</t>
  </si>
  <si>
    <t>Climate Control &amp; Sensor</t>
  </si>
  <si>
    <t xml:space="preserve">No vent </t>
  </si>
  <si>
    <t>Selected Vent Selling price</t>
  </si>
  <si>
    <t>Selected Vent Cost price</t>
  </si>
  <si>
    <t>Total KG</t>
  </si>
  <si>
    <t>15m</t>
  </si>
  <si>
    <t>Yes</t>
  </si>
</sst>
</file>

<file path=xl/styles.xml><?xml version="1.0" encoding="utf-8"?>
<styleSheet xmlns="http://schemas.openxmlformats.org/spreadsheetml/2006/main">
  <numFmts count="6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[$-409]hh:mm:ss\ AM/PM;@"/>
    <numFmt numFmtId="165" formatCode="_-* #,##0_-;\-* #,##0_-;_-* &quot;-&quot;??_-;_-@_-"/>
    <numFmt numFmtId="166" formatCode="0.0"/>
    <numFmt numFmtId="167" formatCode="&quot;£&quot;#,##0.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52">
    <xf numFmtId="0" fontId="0" fillId="0" borderId="0" xfId="0"/>
    <xf numFmtId="0" fontId="2" fillId="0" borderId="0" xfId="0" applyFont="1"/>
    <xf numFmtId="0" fontId="3" fillId="0" borderId="0" xfId="0" applyFont="1"/>
    <xf numFmtId="164" fontId="0" fillId="2" borderId="0" xfId="0" applyNumberFormat="1" applyFill="1"/>
    <xf numFmtId="44" fontId="4" fillId="0" borderId="0" xfId="0" applyNumberFormat="1" applyFont="1" applyAlignment="1">
      <alignment vertical="center"/>
    </xf>
    <xf numFmtId="0" fontId="3" fillId="0" borderId="1" xfId="0" applyFont="1" applyBorder="1"/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14" fontId="3" fillId="0" borderId="2" xfId="0" applyNumberFormat="1" applyFont="1" applyBorder="1" applyAlignment="1">
      <alignment horizontal="left"/>
    </xf>
    <xf numFmtId="14" fontId="3" fillId="0" borderId="3" xfId="0" applyNumberFormat="1" applyFont="1" applyBorder="1" applyAlignment="1">
      <alignment horizontal="left"/>
    </xf>
    <xf numFmtId="14" fontId="3" fillId="0" borderId="0" xfId="0" applyNumberFormat="1" applyFont="1"/>
    <xf numFmtId="0" fontId="3" fillId="0" borderId="4" xfId="0" applyFont="1" applyBorder="1"/>
    <xf numFmtId="0" fontId="3" fillId="0" borderId="0" xfId="0" applyFont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6" xfId="0" applyFont="1" applyBorder="1"/>
    <xf numFmtId="0" fontId="3" fillId="0" borderId="7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44" fontId="3" fillId="0" borderId="0" xfId="2" applyFont="1"/>
    <xf numFmtId="165" fontId="3" fillId="0" borderId="0" xfId="1" applyNumberFormat="1" applyFont="1"/>
    <xf numFmtId="0" fontId="3" fillId="0" borderId="9" xfId="0" applyFont="1" applyBorder="1"/>
    <xf numFmtId="165" fontId="3" fillId="0" borderId="10" xfId="0" applyNumberFormat="1" applyFont="1" applyBorder="1" applyAlignment="1">
      <alignment horizontal="center"/>
    </xf>
    <xf numFmtId="1" fontId="3" fillId="0" borderId="0" xfId="0" applyNumberFormat="1" applyFont="1"/>
    <xf numFmtId="0" fontId="3" fillId="0" borderId="11" xfId="0" applyFont="1" applyBorder="1"/>
    <xf numFmtId="166" fontId="3" fillId="0" borderId="11" xfId="2" applyNumberFormat="1" applyFont="1" applyBorder="1"/>
    <xf numFmtId="0" fontId="5" fillId="0" borderId="9" xfId="0" applyFont="1" applyBorder="1"/>
    <xf numFmtId="0" fontId="3" fillId="0" borderId="10" xfId="0" applyFont="1" applyBorder="1"/>
    <xf numFmtId="0" fontId="3" fillId="0" borderId="12" xfId="0" applyFont="1" applyBorder="1"/>
    <xf numFmtId="0" fontId="3" fillId="0" borderId="0" xfId="0" applyFont="1" applyAlignment="1">
      <alignment horizontal="right"/>
    </xf>
    <xf numFmtId="44" fontId="3" fillId="0" borderId="0" xfId="0" applyNumberFormat="1" applyFont="1"/>
    <xf numFmtId="166" fontId="3" fillId="0" borderId="0" xfId="0" applyNumberFormat="1" applyFont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8" xfId="0" applyFont="1" applyBorder="1"/>
    <xf numFmtId="166" fontId="3" fillId="0" borderId="11" xfId="0" applyNumberFormat="1" applyFont="1" applyBorder="1"/>
    <xf numFmtId="43" fontId="3" fillId="0" borderId="0" xfId="0" applyNumberFormat="1" applyFont="1"/>
    <xf numFmtId="2" fontId="3" fillId="0" borderId="0" xfId="0" applyNumberFormat="1" applyFont="1"/>
    <xf numFmtId="0" fontId="3" fillId="0" borderId="11" xfId="0" applyFont="1" applyBorder="1" applyAlignment="1">
      <alignment horizontal="right"/>
    </xf>
    <xf numFmtId="1" fontId="3" fillId="0" borderId="11" xfId="0" applyNumberFormat="1" applyFont="1" applyBorder="1"/>
    <xf numFmtId="0" fontId="6" fillId="0" borderId="0" xfId="0" applyFont="1"/>
    <xf numFmtId="0" fontId="5" fillId="0" borderId="11" xfId="0" applyFont="1" applyBorder="1"/>
    <xf numFmtId="0" fontId="3" fillId="0" borderId="11" xfId="0" applyFont="1" applyBorder="1" applyAlignment="1">
      <alignment horizontal="center"/>
    </xf>
    <xf numFmtId="0" fontId="5" fillId="0" borderId="10" xfId="0" applyFont="1" applyBorder="1"/>
    <xf numFmtId="0" fontId="3" fillId="0" borderId="13" xfId="0" applyFont="1" applyBorder="1"/>
    <xf numFmtId="1" fontId="3" fillId="0" borderId="13" xfId="0" applyNumberFormat="1" applyFont="1" applyBorder="1"/>
    <xf numFmtId="44" fontId="3" fillId="0" borderId="14" xfId="2" applyFont="1" applyBorder="1"/>
    <xf numFmtId="167" fontId="3" fillId="0" borderId="0" xfId="0" applyNumberFormat="1" applyFont="1"/>
    <xf numFmtId="166" fontId="3" fillId="3" borderId="0" xfId="0" applyNumberFormat="1" applyFont="1" applyFill="1"/>
    <xf numFmtId="43" fontId="3" fillId="0" borderId="0" xfId="1" applyFont="1"/>
    <xf numFmtId="166" fontId="3" fillId="0" borderId="14" xfId="0" applyNumberFormat="1" applyFont="1" applyBorder="1"/>
    <xf numFmtId="9" fontId="3" fillId="0" borderId="0" xfId="3" applyFont="1"/>
    <xf numFmtId="166" fontId="3" fillId="0" borderId="15" xfId="0" applyNumberFormat="1" applyFont="1" applyBorder="1"/>
  </cellXfs>
  <cellStyles count="5">
    <cellStyle name="Comma" xfId="1" builtinId="3"/>
    <cellStyle name="Currency" xfId="2" builtinId="4"/>
    <cellStyle name="Normal" xfId="0" builtinId="0"/>
    <cellStyle name="Normal 2" xfId="4"/>
    <cellStyle name="Percent" xfId="3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ta%20Pricing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Job details"/>
      <sheetName val="Quotation"/>
      <sheetName val="Trade Order Form"/>
      <sheetName val="Retail Order Form"/>
      <sheetName val="Gableframe Order Form"/>
      <sheetName val="Retail settings"/>
      <sheetName val="Book Front"/>
      <sheetName val="Idiot List"/>
      <sheetName val="Supplier Prices"/>
      <sheetName val="Geometry"/>
      <sheetName val="Obstruction"/>
      <sheetName val="Customers"/>
      <sheetName val="Trade discounts"/>
      <sheetName val="Tile spacings"/>
      <sheetName val="Lath Lnths"/>
      <sheetName val="Tile Pricing"/>
      <sheetName val="Big Number"/>
      <sheetName val="Pricing 1"/>
      <sheetName val="Costings"/>
      <sheetName val="Tiles Qauntities"/>
      <sheetName val="Comparison "/>
      <sheetName val="Matrix"/>
    </sheetNames>
    <sheetDataSet>
      <sheetData sheetId="0">
        <row r="2">
          <cell r="B2" t="str">
            <v>Tom O'Neill</v>
          </cell>
        </row>
        <row r="3">
          <cell r="B3" t="str">
            <v>Own House</v>
          </cell>
          <cell r="I3">
            <v>5</v>
          </cell>
        </row>
        <row r="4">
          <cell r="B4" t="str">
            <v>TBC</v>
          </cell>
          <cell r="I4">
            <v>3</v>
          </cell>
        </row>
        <row r="6">
          <cell r="I6">
            <v>1</v>
          </cell>
        </row>
        <row r="7">
          <cell r="I7">
            <v>1</v>
          </cell>
        </row>
        <row r="11">
          <cell r="I11">
            <v>2</v>
          </cell>
        </row>
        <row r="12">
          <cell r="B12">
            <v>4910</v>
          </cell>
          <cell r="I12">
            <v>1</v>
          </cell>
        </row>
        <row r="13">
          <cell r="B13">
            <v>2910</v>
          </cell>
          <cell r="I13">
            <v>1</v>
          </cell>
        </row>
        <row r="28">
          <cell r="B28">
            <v>4910</v>
          </cell>
          <cell r="E28">
            <v>0</v>
          </cell>
        </row>
        <row r="29">
          <cell r="B29">
            <v>0</v>
          </cell>
          <cell r="E29">
            <v>0</v>
          </cell>
        </row>
        <row r="30">
          <cell r="B30">
            <v>0</v>
          </cell>
        </row>
        <row r="31">
          <cell r="E31">
            <v>0</v>
          </cell>
        </row>
        <row r="32">
          <cell r="B32">
            <v>16.61</v>
          </cell>
          <cell r="E32">
            <v>0</v>
          </cell>
        </row>
        <row r="33">
          <cell r="B33">
            <v>55</v>
          </cell>
        </row>
        <row r="37">
          <cell r="B37">
            <v>74</v>
          </cell>
        </row>
        <row r="44">
          <cell r="B44">
            <v>4910</v>
          </cell>
        </row>
        <row r="45">
          <cell r="B45">
            <v>5100</v>
          </cell>
        </row>
        <row r="47">
          <cell r="B47" t="str">
            <v>Britmet</v>
          </cell>
        </row>
        <row r="48">
          <cell r="B48" t="str">
            <v>Titanium (Grey)</v>
          </cell>
        </row>
        <row r="53">
          <cell r="B53" t="str">
            <v>Lean to</v>
          </cell>
        </row>
        <row r="54">
          <cell r="B54" t="str">
            <v>No vent</v>
          </cell>
        </row>
        <row r="55">
          <cell r="B55" t="str">
            <v/>
          </cell>
        </row>
        <row r="64">
          <cell r="B64">
            <v>3231.4388071072913</v>
          </cell>
        </row>
        <row r="81">
          <cell r="G81" t="b">
            <v>0</v>
          </cell>
        </row>
        <row r="83">
          <cell r="G83" t="b">
            <v>0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D7" t="str">
            <v>0.14 U VALUE</v>
          </cell>
        </row>
        <row r="9">
          <cell r="E9" t="str">
            <v>White</v>
          </cell>
        </row>
        <row r="11">
          <cell r="B11" t="str">
            <v>Square Black</v>
          </cell>
        </row>
      </sheetData>
      <sheetData sheetId="7"/>
      <sheetData sheetId="8">
        <row r="6">
          <cell r="L6">
            <v>8.1630894341074232</v>
          </cell>
          <cell r="N6">
            <v>5.2</v>
          </cell>
        </row>
        <row r="8">
          <cell r="E8">
            <v>51.6</v>
          </cell>
        </row>
        <row r="9">
          <cell r="E9">
            <v>6.2186250000000003</v>
          </cell>
        </row>
        <row r="10">
          <cell r="E10">
            <v>6.2727000000000004</v>
          </cell>
        </row>
        <row r="12">
          <cell r="E12">
            <v>38.663624999999996</v>
          </cell>
        </row>
        <row r="13">
          <cell r="E13">
            <v>38.663624999999996</v>
          </cell>
          <cell r="L13">
            <v>46.977529291307015</v>
          </cell>
          <cell r="N13">
            <v>20.007248604319852</v>
          </cell>
        </row>
        <row r="15">
          <cell r="E15">
            <v>10.652775</v>
          </cell>
        </row>
        <row r="16">
          <cell r="E16">
            <v>10.652775</v>
          </cell>
        </row>
        <row r="17">
          <cell r="E17">
            <v>8.2734750000000012</v>
          </cell>
        </row>
        <row r="18">
          <cell r="E18">
            <v>5.3534250000000005</v>
          </cell>
        </row>
        <row r="19">
          <cell r="E19">
            <v>13.518750000000001</v>
          </cell>
        </row>
        <row r="20">
          <cell r="E20">
            <v>1.8385499999999999</v>
          </cell>
        </row>
        <row r="21">
          <cell r="E21">
            <v>3.1363500000000002</v>
          </cell>
        </row>
        <row r="22">
          <cell r="E22">
            <v>32.445</v>
          </cell>
        </row>
        <row r="23">
          <cell r="E23">
            <v>25.415250000000004</v>
          </cell>
        </row>
        <row r="24">
          <cell r="E24">
            <v>14.600250000000003</v>
          </cell>
          <cell r="M24">
            <v>23.421951886569421</v>
          </cell>
          <cell r="N24">
            <v>8.6660000000000004</v>
          </cell>
        </row>
        <row r="25">
          <cell r="E25">
            <v>34.75</v>
          </cell>
        </row>
        <row r="27">
          <cell r="E27">
            <v>3.79</v>
          </cell>
        </row>
        <row r="28">
          <cell r="E28">
            <v>3.02</v>
          </cell>
        </row>
        <row r="29">
          <cell r="E29">
            <v>78.900000000000006</v>
          </cell>
        </row>
        <row r="30">
          <cell r="E30">
            <v>96.6</v>
          </cell>
        </row>
        <row r="33">
          <cell r="E33">
            <v>8.9250000000000007</v>
          </cell>
        </row>
        <row r="34">
          <cell r="E34">
            <v>4.7250000000000005</v>
          </cell>
        </row>
        <row r="37">
          <cell r="E37">
            <v>11.413499999999999</v>
          </cell>
        </row>
        <row r="39">
          <cell r="M39">
            <v>12.816094911762072</v>
          </cell>
          <cell r="N39">
            <v>12.05</v>
          </cell>
        </row>
        <row r="41">
          <cell r="E41">
            <v>22.47</v>
          </cell>
        </row>
        <row r="42">
          <cell r="E42">
            <v>10.941000000000001</v>
          </cell>
        </row>
        <row r="43">
          <cell r="E43">
            <v>32.802</v>
          </cell>
        </row>
        <row r="47">
          <cell r="E47">
            <v>26.565000000000001</v>
          </cell>
          <cell r="M47">
            <v>8.4257268170426052</v>
          </cell>
        </row>
        <row r="49">
          <cell r="E49">
            <v>39.438000000000002</v>
          </cell>
        </row>
        <row r="50">
          <cell r="E50">
            <v>2.2574999999999998</v>
          </cell>
        </row>
        <row r="51">
          <cell r="E51">
            <v>1.1864999999999999</v>
          </cell>
        </row>
        <row r="52">
          <cell r="E52">
            <v>1.1864999999999999</v>
          </cell>
          <cell r="M52">
            <v>7.6325000000000003</v>
          </cell>
        </row>
        <row r="53">
          <cell r="E53">
            <v>2.2155</v>
          </cell>
        </row>
        <row r="54">
          <cell r="E54">
            <v>2.2260000000000004</v>
          </cell>
        </row>
        <row r="55">
          <cell r="E55">
            <v>4.2210000000000001</v>
          </cell>
        </row>
        <row r="56">
          <cell r="E56">
            <v>4.2210000000000001</v>
          </cell>
        </row>
        <row r="57">
          <cell r="E57">
            <v>7.3500000000000005</v>
          </cell>
        </row>
        <row r="59">
          <cell r="E59">
            <v>4.2210000000000001</v>
          </cell>
        </row>
        <row r="60">
          <cell r="E60">
            <v>1.9530000000000003</v>
          </cell>
          <cell r="M60">
            <v>12.833876646062887</v>
          </cell>
          <cell r="N60">
            <v>5.2</v>
          </cell>
        </row>
        <row r="61">
          <cell r="E61">
            <v>3.6750000000000003</v>
          </cell>
        </row>
        <row r="62">
          <cell r="E62">
            <v>2.5619999999999998</v>
          </cell>
          <cell r="M62">
            <v>0</v>
          </cell>
        </row>
        <row r="63">
          <cell r="E63">
            <v>1.7324999999999999</v>
          </cell>
        </row>
        <row r="64">
          <cell r="E64">
            <v>2.6670000000000003</v>
          </cell>
        </row>
        <row r="65">
          <cell r="E65">
            <v>6.2685000000000004</v>
          </cell>
        </row>
        <row r="66">
          <cell r="E66">
            <v>0.58800000000000008</v>
          </cell>
        </row>
        <row r="67">
          <cell r="E67">
            <v>2.0265</v>
          </cell>
        </row>
        <row r="68">
          <cell r="E68">
            <v>1.4280000000000002</v>
          </cell>
        </row>
        <row r="69">
          <cell r="E69">
            <v>8.4525000000000006</v>
          </cell>
        </row>
        <row r="70">
          <cell r="E70">
            <v>0.69300000000000006</v>
          </cell>
        </row>
        <row r="71">
          <cell r="E71">
            <v>2.6460000000000004</v>
          </cell>
        </row>
        <row r="72">
          <cell r="E72">
            <v>3.3494999999999999</v>
          </cell>
        </row>
        <row r="73">
          <cell r="E73">
            <v>14.689500000000001</v>
          </cell>
        </row>
        <row r="74">
          <cell r="E74">
            <v>4.5045000000000002</v>
          </cell>
        </row>
        <row r="75">
          <cell r="E75">
            <v>5.5650000000000004</v>
          </cell>
        </row>
        <row r="76">
          <cell r="E76">
            <v>5.1345000000000001</v>
          </cell>
        </row>
        <row r="77">
          <cell r="E77">
            <v>1.0395000000000001</v>
          </cell>
        </row>
        <row r="79">
          <cell r="E79">
            <v>2.4255</v>
          </cell>
        </row>
        <row r="81">
          <cell r="E81">
            <v>5.1345000000000001</v>
          </cell>
        </row>
        <row r="83">
          <cell r="E83">
            <v>3.5385000000000004</v>
          </cell>
        </row>
        <row r="84">
          <cell r="E84">
            <v>0.49349999999999999</v>
          </cell>
        </row>
        <row r="85">
          <cell r="E85">
            <v>0.49</v>
          </cell>
        </row>
        <row r="86">
          <cell r="E86">
            <v>5.35</v>
          </cell>
        </row>
        <row r="87">
          <cell r="E87">
            <v>6.6</v>
          </cell>
        </row>
        <row r="88">
          <cell r="E88">
            <v>16</v>
          </cell>
        </row>
        <row r="89">
          <cell r="E89">
            <v>22</v>
          </cell>
        </row>
        <row r="90">
          <cell r="E90">
            <v>10.95</v>
          </cell>
        </row>
        <row r="91">
          <cell r="E91">
            <v>10.95</v>
          </cell>
        </row>
        <row r="92">
          <cell r="E92">
            <v>10.95</v>
          </cell>
        </row>
        <row r="93">
          <cell r="E93" t="str">
            <v>£</v>
          </cell>
        </row>
        <row r="94">
          <cell r="E94">
            <v>6.9</v>
          </cell>
        </row>
        <row r="95">
          <cell r="E95">
            <v>5.25</v>
          </cell>
        </row>
        <row r="97">
          <cell r="E97">
            <v>39.6</v>
          </cell>
        </row>
        <row r="99">
          <cell r="E99">
            <v>2.09</v>
          </cell>
        </row>
        <row r="103">
          <cell r="E103">
            <v>11</v>
          </cell>
        </row>
        <row r="104">
          <cell r="E104">
            <v>35</v>
          </cell>
        </row>
        <row r="109">
          <cell r="E109">
            <v>8.369999999999999E-3</v>
          </cell>
        </row>
        <row r="110">
          <cell r="E110">
            <v>0.18</v>
          </cell>
        </row>
        <row r="111">
          <cell r="E111">
            <v>1.37</v>
          </cell>
        </row>
        <row r="112">
          <cell r="E112">
            <v>2.19</v>
          </cell>
        </row>
        <row r="113">
          <cell r="E113">
            <v>2.86</v>
          </cell>
        </row>
        <row r="116">
          <cell r="E116">
            <v>22.33</v>
          </cell>
        </row>
        <row r="117">
          <cell r="E117">
            <v>23.8</v>
          </cell>
        </row>
        <row r="118">
          <cell r="E118">
            <v>23.58</v>
          </cell>
        </row>
        <row r="119">
          <cell r="E119">
            <v>12.3</v>
          </cell>
        </row>
        <row r="120">
          <cell r="E120">
            <v>3.31</v>
          </cell>
        </row>
        <row r="121">
          <cell r="E121">
            <v>1.88</v>
          </cell>
        </row>
        <row r="122">
          <cell r="E122">
            <v>13.13</v>
          </cell>
        </row>
        <row r="123">
          <cell r="E123">
            <v>0.78</v>
          </cell>
        </row>
        <row r="125">
          <cell r="E125">
            <v>12</v>
          </cell>
        </row>
        <row r="126">
          <cell r="E126">
            <v>3.35</v>
          </cell>
        </row>
        <row r="127">
          <cell r="E127">
            <v>8.8000000000000007</v>
          </cell>
        </row>
        <row r="128">
          <cell r="E128">
            <v>4</v>
          </cell>
        </row>
        <row r="129">
          <cell r="E129">
            <v>1.7592473118279572</v>
          </cell>
        </row>
        <row r="130">
          <cell r="E130">
            <v>1.4400000000000002</v>
          </cell>
        </row>
        <row r="131">
          <cell r="E131">
            <v>5.5</v>
          </cell>
        </row>
        <row r="132">
          <cell r="E132">
            <v>2.12</v>
          </cell>
        </row>
        <row r="133">
          <cell r="E133">
            <v>73.38</v>
          </cell>
        </row>
        <row r="134">
          <cell r="E134">
            <v>5.5</v>
          </cell>
        </row>
        <row r="135">
          <cell r="F135">
            <v>14.5</v>
          </cell>
        </row>
        <row r="151">
          <cell r="E151">
            <v>2.4900000000000002</v>
          </cell>
        </row>
        <row r="155">
          <cell r="E155">
            <v>0.09</v>
          </cell>
        </row>
      </sheetData>
      <sheetData sheetId="9">
        <row r="5">
          <cell r="H5">
            <v>2614.0723555354598</v>
          </cell>
        </row>
        <row r="6">
          <cell r="B6">
            <v>5228.1447110709196</v>
          </cell>
        </row>
        <row r="7">
          <cell r="B7">
            <v>3240.4144446835599</v>
          </cell>
          <cell r="H7">
            <v>2541.6030229067537</v>
          </cell>
        </row>
        <row r="24">
          <cell r="B24" t="str">
            <v>Edwardian</v>
          </cell>
          <cell r="C24" t="str">
            <v>Victorian 3</v>
          </cell>
          <cell r="D24" t="str">
            <v>Victorian 5</v>
          </cell>
          <cell r="E24" t="str">
            <v>1 side Hipped LT</v>
          </cell>
          <cell r="F24" t="str">
            <v>2 side Hipped LT</v>
          </cell>
          <cell r="G24" t="str">
            <v>Ed P Shape</v>
          </cell>
          <cell r="H24" t="str">
            <v>3 Vic P Shape</v>
          </cell>
          <cell r="I24" t="str">
            <v>5 Vic P Shape</v>
          </cell>
          <cell r="J24" t="str">
            <v>Dbl Hipped Ed</v>
          </cell>
          <cell r="K24" t="str">
            <v>Lean to</v>
          </cell>
          <cell r="L24" t="str">
            <v>Gable</v>
          </cell>
        </row>
        <row r="25">
          <cell r="B25">
            <v>3130</v>
          </cell>
          <cell r="C25">
            <v>3130</v>
          </cell>
          <cell r="D25">
            <v>3130</v>
          </cell>
          <cell r="E25">
            <v>3130</v>
          </cell>
          <cell r="F25">
            <v>3130</v>
          </cell>
          <cell r="G25">
            <v>3130</v>
          </cell>
          <cell r="H25">
            <v>3130</v>
          </cell>
          <cell r="I25">
            <v>3130</v>
          </cell>
          <cell r="J25">
            <v>3130</v>
          </cell>
          <cell r="K25">
            <v>3130</v>
          </cell>
          <cell r="L25">
            <v>3130</v>
          </cell>
        </row>
        <row r="26">
          <cell r="B26">
            <v>5350</v>
          </cell>
          <cell r="C26">
            <v>5350</v>
          </cell>
          <cell r="D26">
            <v>5350</v>
          </cell>
          <cell r="E26">
            <v>5200</v>
          </cell>
          <cell r="F26">
            <v>5350</v>
          </cell>
          <cell r="G26">
            <v>5350</v>
          </cell>
          <cell r="H26">
            <v>5350</v>
          </cell>
          <cell r="I26">
            <v>5350</v>
          </cell>
          <cell r="J26">
            <v>5350</v>
          </cell>
          <cell r="K26">
            <v>5050</v>
          </cell>
          <cell r="L26">
            <v>5350</v>
          </cell>
        </row>
        <row r="27">
          <cell r="B27">
            <v>1853.1443629340486</v>
          </cell>
          <cell r="C27">
            <v>0</v>
          </cell>
          <cell r="D27">
            <v>0</v>
          </cell>
          <cell r="E27">
            <v>2221.5413400272946</v>
          </cell>
          <cell r="F27">
            <v>2245</v>
          </cell>
          <cell r="G27">
            <v>1853.1443629340486</v>
          </cell>
          <cell r="J27">
            <v>817.86818252396563</v>
          </cell>
        </row>
        <row r="28">
          <cell r="B28">
            <v>1230.0575578341331</v>
          </cell>
          <cell r="C28">
            <v>0</v>
          </cell>
          <cell r="D28">
            <v>0</v>
          </cell>
          <cell r="E28">
            <v>1611.4501731538498</v>
          </cell>
          <cell r="F28">
            <v>1635.7363650479313</v>
          </cell>
          <cell r="G28">
            <v>1230.0575578341331</v>
          </cell>
          <cell r="J28">
            <v>158.26078810964253</v>
          </cell>
        </row>
        <row r="29">
          <cell r="B29">
            <v>584.99063018637094</v>
          </cell>
          <cell r="C29">
            <v>0</v>
          </cell>
          <cell r="D29">
            <v>0</v>
          </cell>
          <cell r="E29">
            <v>979.83732021117942</v>
          </cell>
          <cell r="F29">
            <v>1004.9802361919903</v>
          </cell>
          <cell r="G29">
            <v>584.99063018637094</v>
          </cell>
          <cell r="J29">
            <v>0</v>
          </cell>
        </row>
        <row r="30">
          <cell r="E30">
            <v>325.94357831877608</v>
          </cell>
          <cell r="F30">
            <v>351.97344033976162</v>
          </cell>
        </row>
        <row r="31">
          <cell r="E31">
            <v>0</v>
          </cell>
          <cell r="F31">
            <v>0</v>
          </cell>
        </row>
        <row r="32">
          <cell r="E32">
            <v>0</v>
          </cell>
          <cell r="F32">
            <v>0</v>
          </cell>
        </row>
        <row r="33">
          <cell r="B33">
            <v>12</v>
          </cell>
          <cell r="C33">
            <v>0</v>
          </cell>
          <cell r="D33">
            <v>0</v>
          </cell>
          <cell r="E33">
            <v>8</v>
          </cell>
          <cell r="F33">
            <v>16</v>
          </cell>
          <cell r="G33">
            <v>12</v>
          </cell>
          <cell r="H33">
            <v>0</v>
          </cell>
          <cell r="I33">
            <v>0</v>
          </cell>
          <cell r="J33">
            <v>8</v>
          </cell>
          <cell r="K33">
            <v>0</v>
          </cell>
          <cell r="L33">
            <v>0</v>
          </cell>
        </row>
        <row r="34">
          <cell r="B34">
            <v>14672.770203818211</v>
          </cell>
          <cell r="C34">
            <v>0</v>
          </cell>
          <cell r="D34">
            <v>0</v>
          </cell>
          <cell r="E34">
            <v>10277.5448234222</v>
          </cell>
          <cell r="F34">
            <v>20950.760166318731</v>
          </cell>
          <cell r="G34">
            <v>14672.770203818211</v>
          </cell>
          <cell r="H34">
            <v>0</v>
          </cell>
          <cell r="I34">
            <v>0</v>
          </cell>
          <cell r="J34">
            <v>7809.0317650688648</v>
          </cell>
        </row>
        <row r="35">
          <cell r="B35">
            <v>1</v>
          </cell>
          <cell r="C35">
            <v>3</v>
          </cell>
          <cell r="D35">
            <v>5</v>
          </cell>
          <cell r="G35">
            <v>1</v>
          </cell>
          <cell r="H35">
            <v>3</v>
          </cell>
          <cell r="I35">
            <v>5</v>
          </cell>
        </row>
        <row r="36">
          <cell r="B36">
            <v>2</v>
          </cell>
          <cell r="C36">
            <v>4</v>
          </cell>
          <cell r="D36">
            <v>6</v>
          </cell>
          <cell r="E36">
            <v>1</v>
          </cell>
          <cell r="F36">
            <v>2</v>
          </cell>
          <cell r="G36">
            <v>2</v>
          </cell>
          <cell r="H36">
            <v>4</v>
          </cell>
          <cell r="I36">
            <v>6</v>
          </cell>
          <cell r="J36">
            <v>4</v>
          </cell>
          <cell r="K36">
            <v>0</v>
          </cell>
          <cell r="L36">
            <v>0</v>
          </cell>
        </row>
        <row r="37">
          <cell r="B37">
            <v>455</v>
          </cell>
          <cell r="C37">
            <v>455</v>
          </cell>
          <cell r="D37">
            <v>455</v>
          </cell>
          <cell r="G37">
            <v>455</v>
          </cell>
          <cell r="H37">
            <v>455</v>
          </cell>
          <cell r="I37">
            <v>455</v>
          </cell>
          <cell r="J37">
            <v>2000</v>
          </cell>
          <cell r="L37">
            <v>3130</v>
          </cell>
        </row>
        <row r="38">
          <cell r="B38">
            <v>3570.889244992065</v>
          </cell>
          <cell r="C38">
            <v>2861.7670462231276</v>
          </cell>
          <cell r="D38">
            <v>2675</v>
          </cell>
          <cell r="E38">
            <v>2980.8220342717545</v>
          </cell>
          <cell r="F38">
            <v>3130.7826497538917</v>
          </cell>
          <cell r="G38">
            <v>3546.2268680951588</v>
          </cell>
          <cell r="J38">
            <v>2132.0705898257684</v>
          </cell>
        </row>
        <row r="39">
          <cell r="B39">
            <v>3696.8565782228302</v>
          </cell>
          <cell r="C39">
            <v>2962.7192568373252</v>
          </cell>
          <cell r="D39">
            <v>2769.3637825969722</v>
          </cell>
          <cell r="G39">
            <v>3671.3242068691675</v>
          </cell>
          <cell r="J39">
            <v>2207.2818965994943</v>
          </cell>
        </row>
        <row r="40">
          <cell r="B40">
            <v>7393.7131564456604</v>
          </cell>
          <cell r="C40">
            <v>11850.877027349301</v>
          </cell>
          <cell r="D40">
            <v>16616.182695581832</v>
          </cell>
          <cell r="E40">
            <v>3085.9740501230758</v>
          </cell>
          <cell r="F40">
            <v>6482.4494066627358</v>
          </cell>
          <cell r="G40">
            <v>7342.648413738335</v>
          </cell>
          <cell r="H40">
            <v>0</v>
          </cell>
          <cell r="I40">
            <v>0</v>
          </cell>
          <cell r="J40">
            <v>8829.1275863979772</v>
          </cell>
          <cell r="K40">
            <v>0</v>
          </cell>
          <cell r="L40">
            <v>0</v>
          </cell>
        </row>
        <row r="41">
          <cell r="B41">
            <v>2541.6030229067537</v>
          </cell>
          <cell r="C41">
            <v>7624.8090687202612</v>
          </cell>
          <cell r="D41">
            <v>12708.01511453377</v>
          </cell>
          <cell r="G41">
            <v>2541.6030229067537</v>
          </cell>
          <cell r="H41">
            <v>7624.8090687202612</v>
          </cell>
          <cell r="I41">
            <v>12708.01511453377</v>
          </cell>
        </row>
        <row r="42">
          <cell r="E42">
            <v>1</v>
          </cell>
          <cell r="F42">
            <v>1</v>
          </cell>
          <cell r="K42">
            <v>8</v>
          </cell>
        </row>
        <row r="43">
          <cell r="B43">
            <v>0</v>
          </cell>
          <cell r="C43">
            <v>0</v>
          </cell>
          <cell r="D43">
            <v>0</v>
          </cell>
          <cell r="E43">
            <v>3240.4144446835599</v>
          </cell>
          <cell r="F43">
            <v>3240.4144446835599</v>
          </cell>
          <cell r="J43">
            <v>0</v>
          </cell>
          <cell r="K43">
            <v>25923.315557468479</v>
          </cell>
        </row>
        <row r="44">
          <cell r="E44">
            <v>3085.9740501230758</v>
          </cell>
          <cell r="F44">
            <v>3241.2247033313679</v>
          </cell>
        </row>
        <row r="45">
          <cell r="E45">
            <v>4910</v>
          </cell>
          <cell r="F45">
            <v>4910</v>
          </cell>
          <cell r="K45">
            <v>5050</v>
          </cell>
        </row>
        <row r="46">
          <cell r="C46">
            <v>2033.8000165686356</v>
          </cell>
          <cell r="H46">
            <v>2033.8000165686356</v>
          </cell>
        </row>
        <row r="47">
          <cell r="D47">
            <v>1315.8799999999999</v>
          </cell>
          <cell r="I47">
            <v>1315.8799999999999</v>
          </cell>
        </row>
        <row r="48">
          <cell r="B48">
            <v>2614.0723555354598</v>
          </cell>
          <cell r="C48">
            <v>2614.0723555354598</v>
          </cell>
          <cell r="D48">
            <v>2614.0723555354598</v>
          </cell>
          <cell r="G48">
            <v>2614.0723555354598</v>
          </cell>
          <cell r="H48">
            <v>2614.0723555354598</v>
          </cell>
          <cell r="I48">
            <v>2614.0723555354598</v>
          </cell>
          <cell r="J48">
            <v>1620.2072223417799</v>
          </cell>
          <cell r="L48">
            <v>2614.0723555354598</v>
          </cell>
        </row>
        <row r="49">
          <cell r="B49">
            <v>2</v>
          </cell>
          <cell r="C49">
            <v>2</v>
          </cell>
          <cell r="D49">
            <v>2</v>
          </cell>
          <cell r="E49">
            <v>0</v>
          </cell>
          <cell r="F49">
            <v>0</v>
          </cell>
          <cell r="G49">
            <v>2</v>
          </cell>
          <cell r="H49">
            <v>2</v>
          </cell>
          <cell r="I49">
            <v>2</v>
          </cell>
          <cell r="J49">
            <v>5</v>
          </cell>
          <cell r="K49">
            <v>0</v>
          </cell>
          <cell r="L49">
            <v>6</v>
          </cell>
        </row>
        <row r="50">
          <cell r="B50">
            <v>10456.289422141839</v>
          </cell>
          <cell r="C50">
            <v>10456.289422141839</v>
          </cell>
          <cell r="D50">
            <v>10456.289422141839</v>
          </cell>
          <cell r="E50">
            <v>0</v>
          </cell>
          <cell r="F50">
            <v>0</v>
          </cell>
          <cell r="G50">
            <v>10456.289422141839</v>
          </cell>
          <cell r="H50">
            <v>10456.289422141839</v>
          </cell>
          <cell r="I50">
            <v>10456.289422141839</v>
          </cell>
          <cell r="J50">
            <v>16202.072223417799</v>
          </cell>
          <cell r="K50">
            <v>0</v>
          </cell>
          <cell r="L50">
            <v>31368.868266425518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>
        <row r="46">
          <cell r="B46">
            <v>400</v>
          </cell>
        </row>
      </sheetData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Q123"/>
  <sheetViews>
    <sheetView tabSelected="1" zoomScaleNormal="100" workbookViewId="0">
      <pane ySplit="1" topLeftCell="A2" activePane="bottomLeft" state="frozen"/>
      <selection pane="bottomLeft" activeCell="B97" sqref="B97"/>
    </sheetView>
  </sheetViews>
  <sheetFormatPr defaultRowHeight="12.75"/>
  <cols>
    <col min="1" max="1" width="36.7109375" style="2" customWidth="1"/>
    <col min="2" max="2" width="9.85546875" style="2" customWidth="1"/>
    <col min="3" max="3" width="8" style="2" customWidth="1"/>
    <col min="4" max="4" width="9.140625" style="2"/>
    <col min="5" max="5" width="22.140625" style="2" bestFit="1" customWidth="1"/>
    <col min="6" max="6" width="5.42578125" style="2" bestFit="1" customWidth="1"/>
    <col min="7" max="7" width="10.5703125" style="2" bestFit="1" customWidth="1"/>
    <col min="8" max="9" width="9.140625" style="2"/>
    <col min="10" max="10" width="40" style="2" bestFit="1" customWidth="1"/>
    <col min="11" max="11" width="12" style="2" bestFit="1" customWidth="1"/>
    <col min="12" max="13" width="9.140625" style="2"/>
    <col min="14" max="14" width="9.42578125" style="2" bestFit="1" customWidth="1"/>
    <col min="15" max="15" width="11.5703125" style="2" bestFit="1" customWidth="1"/>
    <col min="16" max="16" width="10" style="2" bestFit="1" customWidth="1"/>
    <col min="17" max="17" width="11.5703125" style="2" bestFit="1" customWidth="1"/>
    <col min="18" max="16384" width="9.140625" style="2"/>
  </cols>
  <sheetData>
    <row r="1" spans="1:17" ht="18.75" customHeight="1">
      <c r="A1" s="1" t="s">
        <v>0</v>
      </c>
      <c r="O1" s="3">
        <v>45168.435624999998</v>
      </c>
      <c r="Q1" s="4">
        <f>'[1]Job details'!B64</f>
        <v>3231.4388071072913</v>
      </c>
    </row>
    <row r="3" spans="1:17">
      <c r="A3" s="5" t="s">
        <v>1</v>
      </c>
      <c r="B3" s="6" t="str">
        <f>'[1]Job details'!B2</f>
        <v>Tom O'Neill</v>
      </c>
      <c r="C3" s="6"/>
      <c r="D3" s="7"/>
      <c r="E3" s="5" t="s">
        <v>2</v>
      </c>
      <c r="F3" s="8" t="str">
        <f>'[1]Job details'!B4</f>
        <v>TBC</v>
      </c>
      <c r="G3" s="9"/>
      <c r="H3" s="10"/>
    </row>
    <row r="4" spans="1:17">
      <c r="A4" s="11" t="s">
        <v>3</v>
      </c>
      <c r="B4" s="12" t="str">
        <f>'[1]Job details'!B3</f>
        <v>Own House</v>
      </c>
      <c r="C4" s="12"/>
      <c r="D4" s="13"/>
      <c r="E4" s="11" t="s">
        <v>4</v>
      </c>
      <c r="F4" s="12" t="str">
        <f>'[1]Job details'!B47</f>
        <v>Britmet</v>
      </c>
      <c r="G4" s="13"/>
    </row>
    <row r="5" spans="1:17">
      <c r="A5" s="11" t="s">
        <v>5</v>
      </c>
      <c r="B5" s="12" t="str">
        <f>'[1]Job details'!B53</f>
        <v>Lean to</v>
      </c>
      <c r="C5" s="12"/>
      <c r="D5" s="13"/>
      <c r="E5" s="14" t="s">
        <v>6</v>
      </c>
      <c r="F5" s="15" t="str">
        <f>'[1]Job details'!B48</f>
        <v>Titanium (Grey)</v>
      </c>
      <c r="G5" s="16"/>
      <c r="J5" s="2" t="s">
        <v>7</v>
      </c>
      <c r="K5" s="17">
        <f>SUM(K8:K93)</f>
        <v>1406.2652467497492</v>
      </c>
      <c r="P5" s="18"/>
    </row>
    <row r="6" spans="1:17">
      <c r="A6" s="14" t="s">
        <v>8</v>
      </c>
      <c r="B6" s="15" t="str">
        <f>'[1]Book Front'!D7</f>
        <v>0.14 U VALUE</v>
      </c>
      <c r="C6" s="15"/>
      <c r="D6" s="16"/>
      <c r="E6" s="19" t="s">
        <v>9</v>
      </c>
      <c r="F6" s="20">
        <f>O6</f>
        <v>405.26299999999992</v>
      </c>
      <c r="G6" s="20"/>
      <c r="K6" s="2" t="s">
        <v>10</v>
      </c>
      <c r="L6" s="2" t="s">
        <v>11</v>
      </c>
      <c r="M6" s="2" t="s">
        <v>12</v>
      </c>
      <c r="N6" s="2" t="s">
        <v>13</v>
      </c>
      <c r="O6" s="21">
        <f>SUM(N8:N107)+('[1]Job details'!B32/10*25)</f>
        <v>405.26299999999992</v>
      </c>
      <c r="P6" s="2" t="s">
        <v>14</v>
      </c>
    </row>
    <row r="7" spans="1:17">
      <c r="D7" s="2" t="s">
        <v>15</v>
      </c>
      <c r="G7" s="2" t="s">
        <v>15</v>
      </c>
    </row>
    <row r="8" spans="1:17">
      <c r="A8" s="22" t="s">
        <v>16</v>
      </c>
      <c r="B8" s="23">
        <f>(I9+I10)/3000+L8</f>
        <v>1.7</v>
      </c>
      <c r="C8" s="22" t="s">
        <v>17</v>
      </c>
      <c r="D8" s="22"/>
      <c r="E8" s="24" t="s">
        <v>18</v>
      </c>
      <c r="F8" s="25"/>
      <c r="G8" s="26"/>
      <c r="H8" s="27" t="s">
        <v>19</v>
      </c>
      <c r="I8" s="21">
        <f>'[1]Job details'!B44</f>
        <v>4910</v>
      </c>
      <c r="J8" s="2" t="s">
        <v>16</v>
      </c>
      <c r="K8" s="28">
        <f>IF(OR('[1]Job details'!I4=1,'[1]Job details'!I4=4),'[1]Supplier Prices'!E127*'Idiot List'!B8,'[1]Supplier Prices'!E125*'Idiot List'!B8)</f>
        <v>20.399999999999999</v>
      </c>
      <c r="M8" s="2">
        <v>2.7</v>
      </c>
      <c r="N8" s="29">
        <f>B8*M8</f>
        <v>4.59</v>
      </c>
      <c r="Q8" s="17"/>
    </row>
    <row r="9" spans="1:17">
      <c r="A9" s="22" t="s">
        <v>20</v>
      </c>
      <c r="B9" s="22">
        <f>ROUNDUP((I9/1000)/5,0)+L9</f>
        <v>2</v>
      </c>
      <c r="C9" s="22" t="s">
        <v>17</v>
      </c>
      <c r="D9" s="22"/>
      <c r="E9" s="5" t="str">
        <f>CONCATENATE('[1]Job details'!B54,F9,'[1]Job details'!B55)</f>
        <v xml:space="preserve">No vent </v>
      </c>
      <c r="F9" s="30" t="s">
        <v>21</v>
      </c>
      <c r="G9" s="31"/>
      <c r="H9" s="27" t="s">
        <v>22</v>
      </c>
      <c r="I9" s="21">
        <f>'[1]Job details'!B45</f>
        <v>5100</v>
      </c>
      <c r="J9" s="2" t="s">
        <v>20</v>
      </c>
      <c r="K9" s="17">
        <f>IF(OR('[1]Job details'!$I$6=1,'[1]Job details'!$I$6=2),B9*'[1]Supplier Prices'!E34,B9*'[1]Supplier Prices'!E33)</f>
        <v>9.4500000000000011</v>
      </c>
      <c r="M9" s="2">
        <v>1</v>
      </c>
      <c r="N9" s="2">
        <f t="shared" ref="N9:N15" si="0">B9*M9</f>
        <v>2</v>
      </c>
      <c r="Q9" s="17"/>
    </row>
    <row r="10" spans="1:17">
      <c r="A10" s="22" t="s">
        <v>23</v>
      </c>
      <c r="B10" s="22">
        <f>ROUNDUP('[1]Job details'!B37/4.8+2,0)+L10</f>
        <v>18</v>
      </c>
      <c r="C10" s="22" t="s">
        <v>17</v>
      </c>
      <c r="D10" s="22"/>
      <c r="E10" s="14" t="s">
        <v>24</v>
      </c>
      <c r="F10" s="32">
        <f>'[1]Job details'!B25</f>
        <v>0</v>
      </c>
      <c r="G10" s="33"/>
      <c r="H10" s="27" t="s">
        <v>25</v>
      </c>
      <c r="I10" s="2">
        <f>'[1]Job details'!B34</f>
        <v>0</v>
      </c>
      <c r="J10" s="2" t="s">
        <v>26</v>
      </c>
      <c r="K10" s="17">
        <f>B10*'[1]Supplier Prices'!E27</f>
        <v>68.22</v>
      </c>
      <c r="M10" s="2">
        <f>0.55*4.8</f>
        <v>2.64</v>
      </c>
      <c r="N10" s="29">
        <f t="shared" si="0"/>
        <v>47.52</v>
      </c>
      <c r="Q10" s="17"/>
    </row>
    <row r="11" spans="1:17">
      <c r="A11" s="22" t="s">
        <v>27</v>
      </c>
      <c r="B11" s="22">
        <f>IF('[1]Job details'!G83=FALSE,(B10-2)+L11,0)</f>
        <v>16</v>
      </c>
      <c r="C11" s="22" t="s">
        <v>17</v>
      </c>
      <c r="D11" s="22"/>
      <c r="J11" s="2" t="s">
        <v>27</v>
      </c>
      <c r="K11" s="28">
        <f>B11*'[1]Supplier Prices'!E28</f>
        <v>48.32</v>
      </c>
      <c r="M11" s="2">
        <f>0.55*4.8</f>
        <v>2.64</v>
      </c>
      <c r="N11" s="29">
        <f t="shared" si="0"/>
        <v>42.24</v>
      </c>
      <c r="Q11" s="17"/>
    </row>
    <row r="12" spans="1:17">
      <c r="A12" s="22" t="s">
        <v>28</v>
      </c>
      <c r="B12" s="22">
        <f>IF(OR('[1]Job details'!I4=1,'[1]Job details'!I4=4),0,ROUNDUP(2*('[1]Job details'!$B$29+'[1]Job details'!$B$30*$B$14)/4800,0))+L12</f>
        <v>0</v>
      </c>
      <c r="C12" s="22" t="s">
        <v>17</v>
      </c>
      <c r="D12" s="22"/>
      <c r="J12" s="2" t="s">
        <v>29</v>
      </c>
      <c r="K12" s="17">
        <f>B12*'[1]Supplier Prices'!E27</f>
        <v>0</v>
      </c>
      <c r="M12" s="2">
        <f>0.55*4.8</f>
        <v>2.64</v>
      </c>
      <c r="N12" s="2">
        <f t="shared" si="0"/>
        <v>0</v>
      </c>
    </row>
    <row r="13" spans="1:17">
      <c r="A13" s="22" t="s">
        <v>30</v>
      </c>
      <c r="B13" s="22">
        <f>HLOOKUP(B5,[1]Geometry!$B$24:$L$50,26,FALSE)</f>
        <v>0</v>
      </c>
      <c r="C13" s="22" t="s">
        <v>31</v>
      </c>
      <c r="D13" s="22"/>
      <c r="E13" s="19" t="s">
        <v>32</v>
      </c>
      <c r="F13" s="34">
        <f>CEILING(B98/12,0.5)</f>
        <v>3</v>
      </c>
      <c r="G13" s="26"/>
      <c r="J13" s="2" t="s">
        <v>30</v>
      </c>
      <c r="K13" s="17">
        <f>B13*'[1]Supplier Prices'!L13</f>
        <v>0</v>
      </c>
      <c r="M13" s="35">
        <f>'[1]Supplier Prices'!N13</f>
        <v>20.007248604319852</v>
      </c>
      <c r="N13" s="29">
        <f t="shared" si="0"/>
        <v>0</v>
      </c>
      <c r="Q13" s="17"/>
    </row>
    <row r="14" spans="1:17">
      <c r="A14" s="22" t="s">
        <v>33</v>
      </c>
      <c r="B14" s="22">
        <f>IF(OR('[1]Job details'!$I$3=7,'[1]Job details'!$I$3=1,'[1]Job details'!$I$3=8),2,IF(OR('[1]Job details'!$I$3=2,'[1]Job details'!$I$3=5),0,IF(OR('[1]Job details'!$I$3=9,'[1]Job details'!$I$3=3,'[1]Job details'!$I$3=11),4,IF(OR('[1]Job details'!$I$3=4,'[1]Job details'!$I$3=10),6,1))))+L14</f>
        <v>0</v>
      </c>
      <c r="C14" s="22" t="s">
        <v>31</v>
      </c>
      <c r="D14" s="22"/>
      <c r="J14" s="2" t="s">
        <v>33</v>
      </c>
      <c r="K14" s="17"/>
      <c r="M14" s="36">
        <f>'[1]Job details'!B30/1000*B94</f>
        <v>0</v>
      </c>
      <c r="N14" s="36">
        <f t="shared" si="0"/>
        <v>0</v>
      </c>
      <c r="Q14" s="17"/>
    </row>
    <row r="15" spans="1:17">
      <c r="A15" s="22" t="s">
        <v>34</v>
      </c>
      <c r="B15" s="22">
        <f>HLOOKUP('[1]Job details'!$B$53,[1]Geometry!$B$24:$L$36,10,FALSE)</f>
        <v>0</v>
      </c>
      <c r="C15" s="22" t="s">
        <v>31</v>
      </c>
      <c r="D15" s="22"/>
      <c r="J15" s="2" t="s">
        <v>34</v>
      </c>
      <c r="K15" s="17"/>
      <c r="N15" s="2">
        <f t="shared" si="0"/>
        <v>0</v>
      </c>
      <c r="Q15" s="17"/>
    </row>
    <row r="16" spans="1:17">
      <c r="A16" s="22" t="s">
        <v>35</v>
      </c>
      <c r="B16" s="22">
        <f>ROUNDUP('[1]Job details'!B32/2.88,0)+L16</f>
        <v>6</v>
      </c>
      <c r="C16" s="22" t="s">
        <v>36</v>
      </c>
      <c r="D16" s="22"/>
      <c r="E16" s="22"/>
      <c r="J16" s="2" t="s">
        <v>35</v>
      </c>
      <c r="K16" s="17">
        <f>IF('[1]Job details'!$I$12=1,'[1]Supplier Prices'!E25*B16,'[1]Supplier Prices'!E8*B16)</f>
        <v>208.5</v>
      </c>
      <c r="M16" s="29">
        <f>IF('[1]Job details'!$I$12=1,3.1*2.4*1.2,3.1*2.4*1.2*1.2)</f>
        <v>8.927999999999999</v>
      </c>
      <c r="N16" s="29">
        <f>M16*B16</f>
        <v>53.567999999999998</v>
      </c>
      <c r="Q16" s="17"/>
    </row>
    <row r="17" spans="1:17">
      <c r="A17" s="26" t="s">
        <v>37</v>
      </c>
      <c r="B17" s="37">
        <f>IF('[1]Job details'!G83=FALSE,ROUNDUP('[1]Job details'!B32/15,0)+L19,0)</f>
        <v>1.5</v>
      </c>
      <c r="C17" s="22" t="s">
        <v>38</v>
      </c>
      <c r="D17" s="22">
        <f>L18</f>
        <v>0</v>
      </c>
      <c r="E17" s="27" t="s">
        <v>39</v>
      </c>
      <c r="F17" s="2">
        <f>B17+D17</f>
        <v>1.5</v>
      </c>
      <c r="G17" s="2">
        <f>'[1]Job details'!B32-'[1]Job details'!E28</f>
        <v>16.61</v>
      </c>
      <c r="J17" s="22" t="s">
        <v>40</v>
      </c>
      <c r="K17" s="17">
        <f>B20*'[1]Supplier Prices'!E104</f>
        <v>0</v>
      </c>
      <c r="M17" s="2">
        <v>33</v>
      </c>
      <c r="N17" s="29">
        <f>M17*B20</f>
        <v>0</v>
      </c>
      <c r="Q17" s="17"/>
    </row>
    <row r="18" spans="1:17">
      <c r="A18" s="22" t="s">
        <v>41</v>
      </c>
      <c r="B18" s="37">
        <f>1+L20</f>
        <v>1</v>
      </c>
      <c r="C18" s="22" t="s">
        <v>42</v>
      </c>
      <c r="D18" s="22"/>
      <c r="J18" s="2" t="s">
        <v>43</v>
      </c>
      <c r="K18" s="17">
        <f>D17*'[1]Supplier Prices'!E29+L17</f>
        <v>0</v>
      </c>
      <c r="Q18" s="17"/>
    </row>
    <row r="19" spans="1:17">
      <c r="A19" s="22" t="s">
        <v>44</v>
      </c>
      <c r="B19" s="22">
        <f>2+L21</f>
        <v>2</v>
      </c>
      <c r="C19" s="22" t="s">
        <v>45</v>
      </c>
      <c r="D19" s="22"/>
      <c r="J19" s="2" t="s">
        <v>46</v>
      </c>
      <c r="K19" s="17">
        <f>VLOOKUP(C17,M118:N119,2,FALSE)*'Idiot List'!B17</f>
        <v>118.35000000000001</v>
      </c>
      <c r="L19" s="2">
        <v>-0.5</v>
      </c>
      <c r="M19" s="2">
        <v>13.5</v>
      </c>
      <c r="N19" s="2">
        <f>M19*F17</f>
        <v>20.25</v>
      </c>
      <c r="Q19" s="17"/>
    </row>
    <row r="20" spans="1:17">
      <c r="A20" s="22" t="s">
        <v>40</v>
      </c>
      <c r="B20" s="38">
        <f>IF('[1]Job details'!G83=TRUE,ROUNDUP(('[1]Job details'!B32/1.2/2.4),0),0)+L17</f>
        <v>0</v>
      </c>
      <c r="C20" s="22" t="s">
        <v>47</v>
      </c>
      <c r="D20" s="22"/>
      <c r="E20" s="39" t="s">
        <v>48</v>
      </c>
      <c r="F20" s="2" t="str">
        <f>IF(OR('[1]Job details'!I4=1,'[1]Job details'!I4=4,),'[1]Job details'!B47,"N/A")</f>
        <v>N/A</v>
      </c>
      <c r="J20" s="2" t="s">
        <v>41</v>
      </c>
      <c r="K20" s="28">
        <f>B18*'[1]Supplier Prices'!E97</f>
        <v>39.6</v>
      </c>
      <c r="M20" s="2">
        <v>5.6</v>
      </c>
      <c r="N20" s="2">
        <f>M20*B18</f>
        <v>5.6</v>
      </c>
      <c r="Q20" s="17"/>
    </row>
    <row r="21" spans="1:17">
      <c r="A21" s="22" t="s">
        <v>49</v>
      </c>
      <c r="B21" s="22">
        <f>IF(OR('[1]Job details'!$I$4=1,'[1]Job details'!$I$4=4),0,'[1]Job details'!B33)+L22</f>
        <v>55</v>
      </c>
      <c r="C21" s="22" t="s">
        <v>50</v>
      </c>
      <c r="D21" s="22"/>
      <c r="E21" s="26" t="s">
        <v>51</v>
      </c>
      <c r="F21" s="22">
        <f>IF(OR('[1]Job details'!I4=1,'[1]Job details'!I4=4,),'[1]Pricing 1'!B46,0)+L33</f>
        <v>0</v>
      </c>
      <c r="G21" s="22"/>
      <c r="J21" s="2" t="s">
        <v>44</v>
      </c>
      <c r="K21" s="28">
        <f>B19*'[1]Supplier Prices'!E59</f>
        <v>8.4420000000000002</v>
      </c>
      <c r="N21" s="2">
        <f>B20*M21</f>
        <v>0</v>
      </c>
      <c r="P21" s="28">
        <f>SUM(K8:K21)</f>
        <v>521.28200000000004</v>
      </c>
      <c r="Q21" s="17"/>
    </row>
    <row r="22" spans="1:17">
      <c r="A22" s="22" t="s">
        <v>52</v>
      </c>
      <c r="B22" s="22">
        <f>ROUNDUP(IF(OR('[1]Job details'!$I$4=1,'[1]Job details'!$I$4=4),0,IF(OR('[1]Job details'!$I$3=1,'[1]Job details'!$I$3=7,'[1]Job details'!$I$3=8),('[1]Job details'!$B$29+'[1]Job details'!$B$30*2)/1250,IF(OR('[1]Job details'!$I$3=3,'[1]Job details'!$I$3=9,'[1]Job details'!$I$3=11),('[1]Job details'!$B$29+'[1]Job details'!$B$30*4)/1250,IF('[1]Job details'!$I$3=2,('[1]Job details'!$B$12+'[1]Job details'!$B$13)/1250,IF('[1]Job details'!$I$3=6,('[1]Job details'!$B$29+'[1]Job details'!$B$30)/1250,IF('[1]Job details'!$I$3=10,('[1]Job details'!$B$29+'[1]Job details'!$B$30*6)/1250)))))),0)+L23</f>
        <v>0</v>
      </c>
      <c r="C22" s="22" t="s">
        <v>50</v>
      </c>
      <c r="D22" s="22"/>
      <c r="E22" s="26" t="s">
        <v>53</v>
      </c>
      <c r="F22" s="38">
        <f>IF(OR('[1]Job details'!I4=1,'[1]Job details'!I4=4),ROUNDUP(6*(I23+I22*B14)/1000,0),0)+L34</f>
        <v>0</v>
      </c>
      <c r="G22" s="22"/>
      <c r="H22" s="27" t="s">
        <v>54</v>
      </c>
      <c r="I22" s="21">
        <f>'[1]Job details'!B30</f>
        <v>0</v>
      </c>
      <c r="J22" s="5" t="s">
        <v>49</v>
      </c>
      <c r="K22" s="28">
        <f>IF('[1]Job details'!$I$4=2,'Idiot List'!B21*'[1]Supplier Prices'!E86,IF('[1]Job details'!$I$4=3,'[1]Supplier Prices'!E9*'Idiot List'!B21,0))</f>
        <v>342.02437500000002</v>
      </c>
      <c r="M22" s="2">
        <v>2.19</v>
      </c>
      <c r="N22" s="2">
        <f>B21*M22</f>
        <v>120.45</v>
      </c>
      <c r="Q22" s="17"/>
    </row>
    <row r="23" spans="1:17">
      <c r="A23" s="22" t="s">
        <v>55</v>
      </c>
      <c r="B23" s="22">
        <f>IF('[1]Job details'!$I$4=1,0,IF(('[1]Job details'!$I$3=2),1,0))+L24</f>
        <v>0</v>
      </c>
      <c r="C23" s="22" t="s">
        <v>50</v>
      </c>
      <c r="D23" s="22"/>
      <c r="E23" s="26" t="s">
        <v>56</v>
      </c>
      <c r="F23" s="22">
        <f>IF(OR('[1]Job details'!I4=1,'[1]Job details'!I4=4,),IF(OR('[1]Job details'!$I$3=1,'[1]Job details'!$I$3=8),1,IF('[1]Job details'!$I$3=11,2,0)),0)+L35</f>
        <v>0</v>
      </c>
      <c r="G23" s="22"/>
      <c r="H23" s="27" t="s">
        <v>57</v>
      </c>
      <c r="I23" s="2">
        <f>'[1]Job details'!B29</f>
        <v>0</v>
      </c>
      <c r="J23" s="11" t="s">
        <v>52</v>
      </c>
      <c r="K23" s="28">
        <f>IF('[1]Job details'!$I$4=2,'Idiot List'!B22*'[1]Supplier Prices'!E87,IF('[1]Job details'!$I$4=3,'[1]Supplier Prices'!E10*'Idiot List'!B22,0))</f>
        <v>0</v>
      </c>
      <c r="M23" s="2">
        <v>1.6</v>
      </c>
      <c r="N23" s="2">
        <f>M23*B22</f>
        <v>0</v>
      </c>
      <c r="Q23" s="17"/>
    </row>
    <row r="24" spans="1:17">
      <c r="A24" s="22" t="s">
        <v>58</v>
      </c>
      <c r="B24" s="22">
        <f>IF(OR('[1]Job details'!$I$4=1,'[1]Job details'!$I$4=4),0,IF(OR('[1]Job details'!$I$3=1,'[1]Job details'!$I$3=8),1,IF('[1]Job details'!$I$3=11,2,0)))+L25</f>
        <v>0</v>
      </c>
      <c r="C24" s="22" t="s">
        <v>50</v>
      </c>
      <c r="D24" s="22"/>
      <c r="E24" s="26" t="s">
        <v>59</v>
      </c>
      <c r="F24" s="22">
        <f>L37</f>
        <v>0</v>
      </c>
      <c r="G24" s="22"/>
      <c r="J24" s="11" t="s">
        <v>55</v>
      </c>
      <c r="K24" s="28">
        <f>IF('[1]Job details'!$I$4=2,'Idiot List'!B23*'[1]Supplier Prices'!E88,IF('[1]Job details'!$I$4=3,'[1]Supplier Prices'!E16*'Idiot List'!B23,0))</f>
        <v>0</v>
      </c>
      <c r="M24" s="2">
        <v>0.15</v>
      </c>
      <c r="N24" s="2">
        <f t="shared" ref="N24:N30" si="1">B23*M24</f>
        <v>0</v>
      </c>
      <c r="Q24" s="17"/>
    </row>
    <row r="25" spans="1:17">
      <c r="A25" s="22" t="s">
        <v>60</v>
      </c>
      <c r="B25" s="22">
        <f>IF(OR('[1]Job details'!$I$4=1,'[1]Job details'!$I$4=4),0,IF(OR('[1]Job details'!$I$3=3,'[1]Job details'!$I$3=9),1))+L26</f>
        <v>0</v>
      </c>
      <c r="C25" s="22" t="s">
        <v>50</v>
      </c>
      <c r="D25" s="22"/>
      <c r="E25" s="26" t="s">
        <v>61</v>
      </c>
      <c r="F25" s="22">
        <f>L38</f>
        <v>0</v>
      </c>
      <c r="G25" s="22"/>
      <c r="J25" s="11" t="s">
        <v>58</v>
      </c>
      <c r="K25" s="28">
        <f>IF('[1]Job details'!$I$4=2,'Idiot List'!B24*'[1]Supplier Prices'!E89,IF('[1]Job details'!$I$4=3,'[1]Supplier Prices'!E12*'Idiot List'!B24,0))</f>
        <v>0</v>
      </c>
      <c r="M25" s="2">
        <v>0.5</v>
      </c>
      <c r="N25" s="2">
        <f t="shared" si="1"/>
        <v>0</v>
      </c>
      <c r="Q25" s="17"/>
    </row>
    <row r="26" spans="1:17">
      <c r="A26" s="22" t="s">
        <v>62</v>
      </c>
      <c r="B26" s="22">
        <f>IF(OR('[1]Job details'!$I$4=1,'[1]Job details'!$I$4=4),0,IF('[1]Job details'!$I$3=8,3,IF('[1]Job details'!$I$3=11,4,IF('[1]Job details'!$I$3=6,1,IF(OR('[1]Job details'!$I$3=1,'[1]Job details'!$I$3=7),2,0)))))+L27</f>
        <v>0</v>
      </c>
      <c r="C26" s="22" t="s">
        <v>50</v>
      </c>
      <c r="D26" s="22"/>
      <c r="E26" s="22" t="s">
        <v>63</v>
      </c>
      <c r="F26" s="22">
        <f>IF('[1]Job details'!$I$4=4,IF('[1]Job details'!$I$3=8,3,IF('[1]Job details'!$I$3=11,4,IF('[1]Job details'!$I$3=6,1,IF(OR('[1]Job details'!$I$3=1,'[1]Job details'!$I$3=7),2,0)))))+L36</f>
        <v>0</v>
      </c>
      <c r="G26" s="22"/>
      <c r="J26" s="11" t="s">
        <v>60</v>
      </c>
      <c r="K26" s="28">
        <f>IF('[1]Job details'!$I$4=2,'Idiot List'!B25*'[1]Supplier Prices'!E90,IF('[1]Job details'!$I$4=3,'[1]Supplier Prices'!E12*'Idiot List'!B25,0))</f>
        <v>0</v>
      </c>
      <c r="M26" s="2">
        <v>1.2</v>
      </c>
      <c r="N26" s="2">
        <f t="shared" si="1"/>
        <v>0</v>
      </c>
      <c r="Q26" s="17"/>
    </row>
    <row r="27" spans="1:17">
      <c r="A27" s="22" t="s">
        <v>64</v>
      </c>
      <c r="B27" s="22">
        <f>IF(OR('[1]Job details'!$I$4=1,'[1]Job details'!$I$4=4),0,IF(OR('[1]Job details'!$I$3=9,'[1]Job details'!$I$3=3),4,0))+L28</f>
        <v>0</v>
      </c>
      <c r="C27" s="22" t="s">
        <v>50</v>
      </c>
      <c r="D27" s="22"/>
      <c r="J27" s="11" t="s">
        <v>62</v>
      </c>
      <c r="K27" s="28">
        <f>IF('[1]Job details'!$I$4=2,'Idiot List'!B26*'[1]Supplier Prices'!E91,IF('[1]Job details'!$I$4=3,'[1]Supplier Prices'!E15*'Idiot List'!B26,0))</f>
        <v>0</v>
      </c>
      <c r="M27" s="2">
        <v>0.15</v>
      </c>
      <c r="N27" s="2">
        <f t="shared" si="1"/>
        <v>0</v>
      </c>
      <c r="Q27" s="17"/>
    </row>
    <row r="28" spans="1:17">
      <c r="A28" s="22" t="s">
        <v>65</v>
      </c>
      <c r="B28" s="22">
        <f>ROUNDUP(IF(OR('[1]Job details'!$I$4=1,'[1]Job details'!$I$4=4),0,IF('[1]Job details'!$I$3=2,[1]Geometry!B6/1150,IF('[1]Job details'!$I$3=5,[1]Geometry!B7*2/1150,IF('[1]Job details'!$I$3=6,[1]Geometry!B7/1150,0)))),0)+L30</f>
        <v>6</v>
      </c>
      <c r="C28" s="22" t="s">
        <v>66</v>
      </c>
      <c r="D28" s="22"/>
      <c r="J28" s="11" t="s">
        <v>64</v>
      </c>
      <c r="K28" s="28">
        <f>IF('[1]Job details'!$I$4=2,'Idiot List'!B27*'[1]Supplier Prices'!E92,IF('[1]Job details'!$I$4=3,'[1]Supplier Prices'!E15*'Idiot List'!B27,0))</f>
        <v>0</v>
      </c>
      <c r="M28" s="2">
        <v>0.2</v>
      </c>
      <c r="N28" s="2">
        <f t="shared" si="1"/>
        <v>0</v>
      </c>
      <c r="Q28" s="17"/>
    </row>
    <row r="29" spans="1:17">
      <c r="A29" s="22" t="s">
        <v>67</v>
      </c>
      <c r="B29" s="22">
        <f>IF(OR('[1]Job details'!$I$4=1,'[1]Job details'!$I$4=4),0,1)+L31</f>
        <v>1</v>
      </c>
      <c r="C29" s="22" t="s">
        <v>50</v>
      </c>
      <c r="D29" s="22"/>
      <c r="E29" s="22" t="s">
        <v>68</v>
      </c>
      <c r="F29" s="22">
        <f>L29</f>
        <v>0</v>
      </c>
      <c r="G29" s="22"/>
      <c r="J29" s="11" t="s">
        <v>68</v>
      </c>
      <c r="K29" s="28">
        <f>IF('[1]Job details'!$I$4=2,'Idiot List'!F29*'[1]Supplier Prices'!E93,IF('[1]Job details'!$I$4=3,'[1]Supplier Prices'!E13*'Idiot List'!F29,0))</f>
        <v>0</v>
      </c>
      <c r="M29" s="2">
        <v>2</v>
      </c>
      <c r="N29" s="2">
        <f t="shared" si="1"/>
        <v>12</v>
      </c>
      <c r="Q29" s="17"/>
    </row>
    <row r="30" spans="1:17">
      <c r="A30" s="22" t="s">
        <v>69</v>
      </c>
      <c r="B30" s="22">
        <f>ROUNDUP([1]Geometry!H5*2/3000,0)+L32</f>
        <v>0</v>
      </c>
      <c r="C30" s="22" t="s">
        <v>66</v>
      </c>
      <c r="D30" s="22"/>
      <c r="J30" s="11" t="s">
        <v>65</v>
      </c>
      <c r="K30" s="28">
        <f>IF('[1]Job details'!$I$4=2,'Idiot List'!B28*'[1]Supplier Prices'!E94,IF('[1]Job details'!$I$4=3,'[1]Supplier Prices'!E17*'Idiot List'!B28,0))</f>
        <v>49.640850000000007</v>
      </c>
      <c r="N30" s="2">
        <f t="shared" si="1"/>
        <v>0</v>
      </c>
      <c r="Q30" s="17"/>
    </row>
    <row r="31" spans="1:17">
      <c r="A31" s="22" t="s">
        <v>70</v>
      </c>
      <c r="B31" s="22">
        <f>IF('[1]Job details'!I13=2,ROUNDUP(('[1]Job details'!B32/1.2/2.4),0),0)+L39</f>
        <v>0</v>
      </c>
      <c r="C31" s="22" t="s">
        <v>47</v>
      </c>
      <c r="D31" s="22"/>
      <c r="J31" s="11" t="s">
        <v>67</v>
      </c>
      <c r="K31" s="28">
        <f>IF('[1]Job details'!$I$4=2,'Idiot List'!B29*'[1]Supplier Prices'!E95,IF('[1]Job details'!$I$4=3,'[1]Supplier Prices'!E18*'Idiot List'!B29,0))</f>
        <v>5.3534250000000005</v>
      </c>
      <c r="M31" s="2">
        <v>0</v>
      </c>
      <c r="N31" s="2">
        <f>B29*M31</f>
        <v>0</v>
      </c>
      <c r="Q31" s="17"/>
    </row>
    <row r="32" spans="1:17">
      <c r="A32" s="40" t="s">
        <v>71</v>
      </c>
      <c r="B32" s="40" t="str">
        <f>'[1]Book Front'!E9</f>
        <v>White</v>
      </c>
      <c r="C32" s="22"/>
      <c r="D32" s="22"/>
      <c r="J32" s="14" t="s">
        <v>69</v>
      </c>
      <c r="K32" s="28">
        <f>IF(OR('[1]Job details'!I4=1,'[1]Job details'!I4=4),0,'Idiot List'!B30*'[1]Supplier Prices'!E128)</f>
        <v>0</v>
      </c>
      <c r="L32" s="2">
        <v>-2</v>
      </c>
      <c r="M32" s="2">
        <v>0.9</v>
      </c>
      <c r="N32" s="2">
        <f>B30*M33</f>
        <v>0</v>
      </c>
      <c r="P32" s="28">
        <f>SUM(K22:K32)</f>
        <v>397.01865000000004</v>
      </c>
      <c r="Q32" s="17"/>
    </row>
    <row r="33" spans="1:17">
      <c r="A33" s="22" t="s">
        <v>72</v>
      </c>
      <c r="B33" s="22">
        <f>B34+L41</f>
        <v>2</v>
      </c>
      <c r="C33" s="22" t="s">
        <v>66</v>
      </c>
      <c r="D33" s="22"/>
      <c r="E33" s="22" t="s">
        <v>73</v>
      </c>
      <c r="F33" s="22">
        <f>IF('[1]Job details'!I3=2,1,0)+L46</f>
        <v>0</v>
      </c>
      <c r="G33" s="22"/>
      <c r="H33" s="27" t="s">
        <v>74</v>
      </c>
      <c r="I33" s="21">
        <f>I9</f>
        <v>5100</v>
      </c>
      <c r="J33" s="5" t="s">
        <v>51</v>
      </c>
      <c r="K33" s="17">
        <f>IF('[1]Job details'!I4=1,F21*'[1]Supplier Prices'!E121,F21*'[1]Supplier Prices'!E20)</f>
        <v>0</v>
      </c>
      <c r="M33" s="2">
        <v>0.57499999999999996</v>
      </c>
      <c r="N33" s="36">
        <f>F21*M33</f>
        <v>0</v>
      </c>
      <c r="Q33" s="17"/>
    </row>
    <row r="34" spans="1:17">
      <c r="A34" s="22" t="s">
        <v>75</v>
      </c>
      <c r="B34" s="22">
        <f>IF('[1]Job details'!$I$3=2,ROUNDUP('[1]Job details'!B45/5000+([1]Geometry!H7*2)/5000,0),ROUNDUP('[1]Job details'!B45/5000,0))+L42</f>
        <v>3</v>
      </c>
      <c r="C34" s="22" t="s">
        <v>66</v>
      </c>
      <c r="D34" s="22"/>
      <c r="J34" s="11" t="s">
        <v>53</v>
      </c>
      <c r="K34" s="17">
        <f>IF('[1]Job details'!I4=1,F22*'[1]Supplier Prices'!E120,F22*'[1]Supplier Prices'!E21)</f>
        <v>0</v>
      </c>
      <c r="M34" s="2">
        <v>0.65</v>
      </c>
      <c r="N34" s="2">
        <f>F22*M34</f>
        <v>0</v>
      </c>
      <c r="Q34" s="17"/>
    </row>
    <row r="35" spans="1:17">
      <c r="A35" s="22" t="s">
        <v>76</v>
      </c>
      <c r="B35" s="22">
        <f>IF('[1]Job details'!$I$3=2,2,)+L43</f>
        <v>1</v>
      </c>
      <c r="C35" s="22" t="s">
        <v>50</v>
      </c>
      <c r="D35" s="22"/>
      <c r="E35" s="22" t="s">
        <v>77</v>
      </c>
      <c r="F35" s="22"/>
      <c r="G35" s="22"/>
      <c r="J35" s="11" t="s">
        <v>56</v>
      </c>
      <c r="K35" s="17">
        <f>IF('[1]Job details'!I4=1,F23*'[1]Supplier Prices'!E118,F23*'[1]Supplier Prices'!E22)</f>
        <v>0</v>
      </c>
      <c r="N35" s="2">
        <f>F24*M35</f>
        <v>0</v>
      </c>
      <c r="Q35" s="17"/>
    </row>
    <row r="36" spans="1:17">
      <c r="A36" s="22" t="s">
        <v>78</v>
      </c>
      <c r="B36" s="22">
        <f>IF(OR('[1]Job details'!$I$3=1,'[1]Job details'!$I$3=7,'[1]Job details'!$I$3=8,'[1]Job details'!$I$3=11),2,IF('[1]Job details'!$I$3=6,1,IF('[1]Job details'!$I$3=2,4,0))+L44)</f>
        <v>4</v>
      </c>
      <c r="C36" s="22" t="s">
        <v>50</v>
      </c>
      <c r="D36" s="22"/>
      <c r="J36" s="11" t="s">
        <v>63</v>
      </c>
      <c r="K36" s="17">
        <f>IF('[1]Job details'!I4=4,F26*'[1]Supplier Prices'!E23,0)</f>
        <v>0</v>
      </c>
      <c r="Q36" s="17"/>
    </row>
    <row r="37" spans="1:17">
      <c r="A37" s="22" t="s">
        <v>79</v>
      </c>
      <c r="B37" s="22">
        <f>IF(OR('[1]Job details'!$I$3=3,'[1]Job details'!$I$3=9),4,0)+L45</f>
        <v>0</v>
      </c>
      <c r="C37" s="22" t="s">
        <v>50</v>
      </c>
      <c r="D37" s="22"/>
      <c r="J37" s="11" t="s">
        <v>80</v>
      </c>
      <c r="K37" s="17">
        <f>IF('[1]Job details'!I4=1,F24*'[1]Supplier Prices'!E119,F24*'[1]Supplier Prices'!E24)</f>
        <v>0</v>
      </c>
      <c r="N37" s="2">
        <f>F25*M37</f>
        <v>0</v>
      </c>
      <c r="Q37" s="17"/>
    </row>
    <row r="38" spans="1:17">
      <c r="A38" s="22" t="s">
        <v>81</v>
      </c>
      <c r="B38" s="22">
        <v>50</v>
      </c>
      <c r="C38" s="22" t="s">
        <v>50</v>
      </c>
      <c r="D38" s="22"/>
      <c r="J38" s="14" t="s">
        <v>61</v>
      </c>
      <c r="K38" s="17">
        <f>IF('[1]Job details'!I4=1,F25*'[1]Supplier Prices'!E122,0)</f>
        <v>0</v>
      </c>
      <c r="Q38" s="17"/>
    </row>
    <row r="39" spans="1:17">
      <c r="A39" s="22" t="s">
        <v>82</v>
      </c>
      <c r="B39" s="22">
        <f>IF(OR('[1]Job details'!I4=1,'[1]Job details'!I4=4),0,ROUNDUP(2*('[1]Job details'!$B$29+'[1]Job details'!$B$30*$B$14)/8000,0))+L49</f>
        <v>0</v>
      </c>
      <c r="C39" s="41" t="s">
        <v>83</v>
      </c>
      <c r="D39" s="22"/>
      <c r="E39" s="2" t="s">
        <v>84</v>
      </c>
      <c r="J39" s="22" t="s">
        <v>70</v>
      </c>
      <c r="K39" s="17">
        <f>B31*'[1]Supplier Prices'!E103</f>
        <v>0</v>
      </c>
      <c r="M39" s="2">
        <v>23.9</v>
      </c>
      <c r="N39" s="2">
        <f>B31*M39</f>
        <v>0</v>
      </c>
      <c r="P39" s="28">
        <f>SUM(K33:K40)</f>
        <v>0</v>
      </c>
      <c r="Q39" s="17"/>
    </row>
    <row r="40" spans="1:17">
      <c r="A40" s="22" t="s">
        <v>85</v>
      </c>
      <c r="B40" s="22">
        <f>ROUNDUP(IF('[1]Job details'!I4=3,ROUNDUP((('[1]Job details'!B33+B22)*4/50),0)*50,('Idiot List'!F21+'Idiot List'!F22)*2)/200,0)</f>
        <v>2</v>
      </c>
      <c r="C40" s="22" t="s">
        <v>25</v>
      </c>
      <c r="D40" s="22"/>
      <c r="J40" s="22" t="s">
        <v>77</v>
      </c>
      <c r="K40" s="17">
        <f>F35*'[1]Supplier Prices'!F135</f>
        <v>0</v>
      </c>
      <c r="M40" s="2">
        <v>19.899999999999999</v>
      </c>
      <c r="Q40" s="17"/>
    </row>
    <row r="41" spans="1:17">
      <c r="A41" s="22" t="s">
        <v>86</v>
      </c>
      <c r="B41" s="22">
        <f>B40</f>
        <v>2</v>
      </c>
      <c r="C41" s="22" t="s">
        <v>25</v>
      </c>
      <c r="D41" s="22"/>
      <c r="J41" s="11" t="s">
        <v>72</v>
      </c>
      <c r="K41" s="17">
        <f>IF(OR('[1]Job details'!$I$6=1,'[1]Job details'!$I$6=2),B33*'[1]Supplier Prices'!E37,B33*'[1]Supplier Prices'!E47)</f>
        <v>22.826999999999998</v>
      </c>
      <c r="L41" s="2">
        <v>-1</v>
      </c>
      <c r="M41" s="2">
        <f>0.7*5</f>
        <v>3.5</v>
      </c>
      <c r="N41" s="2">
        <f t="shared" ref="N41:N46" si="2">B33*M41</f>
        <v>7</v>
      </c>
      <c r="Q41" s="17"/>
    </row>
    <row r="42" spans="1:17">
      <c r="A42" s="22" t="s">
        <v>87</v>
      </c>
      <c r="B42" s="22">
        <f>ROUNDUP(('[1]Job details'!B45/665+(2*B13)+B14+B15)/100,0)</f>
        <v>1</v>
      </c>
      <c r="C42" s="22" t="s">
        <v>25</v>
      </c>
      <c r="D42" s="22"/>
      <c r="J42" s="11" t="s">
        <v>75</v>
      </c>
      <c r="K42" s="17">
        <f>IF('[1]Job details'!$I$6=1,B34*'[1]Supplier Prices'!E41,IF('[1]Job details'!$I$6=2,B34*'[1]Supplier Prices'!E43,B34*'[1]Supplier Prices'!E49))</f>
        <v>67.41</v>
      </c>
      <c r="L42" s="2">
        <v>1</v>
      </c>
      <c r="M42" s="2">
        <f>0.85*5</f>
        <v>4.25</v>
      </c>
      <c r="N42" s="2">
        <f t="shared" si="2"/>
        <v>12.75</v>
      </c>
      <c r="Q42" s="17"/>
    </row>
    <row r="43" spans="1:17">
      <c r="A43" s="22" t="s">
        <v>88</v>
      </c>
      <c r="B43" s="22">
        <f>30*B31</f>
        <v>0</v>
      </c>
      <c r="C43" s="22" t="s">
        <v>50</v>
      </c>
      <c r="D43" s="22"/>
      <c r="J43" s="11" t="s">
        <v>76</v>
      </c>
      <c r="K43" s="17">
        <f>IF('[1]Job details'!$I$6=1,B35*'[1]Supplier Prices'!E51,IF('[1]Job details'!$I$6=2,B35*'[1]Supplier Prices'!E50,B35*'[1]Supplier Prices'!E55))</f>
        <v>1.1864999999999999</v>
      </c>
      <c r="L43" s="2">
        <v>1</v>
      </c>
      <c r="M43" s="2">
        <v>0.1</v>
      </c>
      <c r="N43" s="2">
        <f t="shared" si="2"/>
        <v>0.1</v>
      </c>
      <c r="Q43" s="17"/>
    </row>
    <row r="44" spans="1:17">
      <c r="A44" s="22" t="s">
        <v>89</v>
      </c>
      <c r="B44" s="22">
        <f>30*B20</f>
        <v>0</v>
      </c>
      <c r="C44" s="22" t="s">
        <v>50</v>
      </c>
      <c r="D44" s="22"/>
      <c r="J44" s="11" t="s">
        <v>78</v>
      </c>
      <c r="K44" s="17">
        <f>IF('[1]Job details'!$I$6=1,B36*'[1]Supplier Prices'!E52,IF('[1]Job details'!$I$6=2,B36*'[1]Supplier Prices'!E53,B36*'[1]Supplier Prices'!E56))</f>
        <v>4.7459999999999996</v>
      </c>
      <c r="L44" s="2">
        <v>4</v>
      </c>
      <c r="M44" s="2">
        <v>0.1</v>
      </c>
      <c r="N44" s="2">
        <f t="shared" si="2"/>
        <v>0.4</v>
      </c>
      <c r="Q44" s="17"/>
    </row>
    <row r="45" spans="1:17">
      <c r="A45" s="22" t="s">
        <v>90</v>
      </c>
      <c r="B45" s="22">
        <f>8+L54</f>
        <v>8</v>
      </c>
      <c r="C45" s="22" t="s">
        <v>50</v>
      </c>
      <c r="D45" s="22"/>
      <c r="J45" s="11" t="s">
        <v>79</v>
      </c>
      <c r="K45" s="17">
        <f>IF('[1]Job details'!$I$6=1,B37*'[1]Supplier Prices'!E54,B37*'[1]Supplier Prices'!E57)</f>
        <v>0</v>
      </c>
      <c r="M45" s="2">
        <v>0.1</v>
      </c>
      <c r="N45" s="2">
        <f t="shared" si="2"/>
        <v>0</v>
      </c>
      <c r="Q45" s="17"/>
    </row>
    <row r="46" spans="1:17">
      <c r="A46" s="2" t="s">
        <v>91</v>
      </c>
      <c r="B46" s="38">
        <f>'[1]Job details'!E31*10</f>
        <v>0</v>
      </c>
      <c r="C46" s="22" t="s">
        <v>50</v>
      </c>
      <c r="D46" s="22"/>
      <c r="J46" s="11" t="s">
        <v>92</v>
      </c>
      <c r="K46" s="17">
        <f>F33*'[1]Supplier Prices'!E42</f>
        <v>0</v>
      </c>
      <c r="N46" s="2">
        <f t="shared" si="2"/>
        <v>0</v>
      </c>
      <c r="Q46" s="17"/>
    </row>
    <row r="47" spans="1:17">
      <c r="A47" s="22" t="s">
        <v>93</v>
      </c>
      <c r="B47" s="22">
        <f>IF('[1]Job details'!I3=1,2,0)+L55</f>
        <v>0</v>
      </c>
      <c r="C47" s="22" t="s">
        <v>50</v>
      </c>
      <c r="D47" s="22"/>
      <c r="J47" s="14" t="s">
        <v>81</v>
      </c>
      <c r="K47" s="17">
        <f>'[1]Supplier Prices'!E134*B38/250</f>
        <v>1.1000000000000001</v>
      </c>
      <c r="P47" s="28">
        <f>SUM(K41:K47)</f>
        <v>97.269499999999979</v>
      </c>
      <c r="Q47" s="17"/>
    </row>
    <row r="48" spans="1:17">
      <c r="A48" s="22" t="s">
        <v>94</v>
      </c>
      <c r="B48" s="22">
        <f>IF('[1]Job details'!$I$3=2,1,0)+L56</f>
        <v>0</v>
      </c>
      <c r="C48" s="22" t="s">
        <v>50</v>
      </c>
      <c r="D48" s="22"/>
      <c r="J48" s="22" t="s">
        <v>91</v>
      </c>
      <c r="K48" s="17">
        <f>'[1]Supplier Prices'!E155*'Idiot List'!B46</f>
        <v>0</v>
      </c>
      <c r="Q48" s="17"/>
    </row>
    <row r="49" spans="1:17">
      <c r="A49" s="22" t="s">
        <v>95</v>
      </c>
      <c r="B49" s="22">
        <f>IF('[1]Job details'!I13=2,1,0)</f>
        <v>0</v>
      </c>
      <c r="C49" s="22"/>
      <c r="D49" s="22"/>
      <c r="J49" s="22" t="s">
        <v>96</v>
      </c>
      <c r="K49" s="17">
        <f>B39*'[1]Supplier Prices'!E19</f>
        <v>0</v>
      </c>
      <c r="Q49" s="17"/>
    </row>
    <row r="50" spans="1:17">
      <c r="A50" s="24" t="s">
        <v>97</v>
      </c>
      <c r="B50" s="42"/>
      <c r="C50" s="42" t="str">
        <f>'[1]Book Front'!B11</f>
        <v>Square Black</v>
      </c>
      <c r="D50" s="42"/>
      <c r="E50" s="42"/>
      <c r="F50" s="25"/>
      <c r="G50" s="26"/>
      <c r="J50" s="22" t="s">
        <v>85</v>
      </c>
      <c r="K50" s="17">
        <f>B40*'[1]Supplier Prices'!E111</f>
        <v>2.74</v>
      </c>
      <c r="Q50" s="17"/>
    </row>
    <row r="51" spans="1:17">
      <c r="A51" s="43" t="s">
        <v>98</v>
      </c>
      <c r="B51" s="44">
        <f>ROUNDUP(I9/4000,0)+L60</f>
        <v>2</v>
      </c>
      <c r="C51" s="43"/>
      <c r="D51" s="22"/>
      <c r="E51" s="22" t="s">
        <v>99</v>
      </c>
      <c r="F51" s="22">
        <f>IF(OR('[1]Job details'!$I$3=8,'[1]Job details'!$I$3=9,'[1]Job details'!$I$3=10),1,0)+L67</f>
        <v>0</v>
      </c>
      <c r="G51" s="22"/>
      <c r="H51" s="27" t="s">
        <v>22</v>
      </c>
      <c r="I51" s="21">
        <f>I9</f>
        <v>5100</v>
      </c>
      <c r="J51" s="22" t="s">
        <v>86</v>
      </c>
      <c r="K51" s="17">
        <f>B41*'[1]Supplier Prices'!E113</f>
        <v>5.72</v>
      </c>
      <c r="Q51" s="17"/>
    </row>
    <row r="52" spans="1:17">
      <c r="A52" s="22" t="s">
        <v>100</v>
      </c>
      <c r="B52" s="22">
        <f>1+L61</f>
        <v>1</v>
      </c>
      <c r="C52" s="22"/>
      <c r="D52" s="22"/>
      <c r="E52" s="22" t="s">
        <v>101</v>
      </c>
      <c r="F52" s="22">
        <f>IF(OR('[1]Job details'!$I$3=3,'[1]Job details'!$I$3=9),4,0)+L68</f>
        <v>0</v>
      </c>
      <c r="G52" s="22"/>
      <c r="J52" s="22" t="s">
        <v>87</v>
      </c>
      <c r="K52" s="17">
        <f>B42*'[1]Supplier Prices'!E112</f>
        <v>2.19</v>
      </c>
      <c r="Q52" s="17"/>
    </row>
    <row r="53" spans="1:17">
      <c r="A53" s="22" t="s">
        <v>102</v>
      </c>
      <c r="B53" s="22">
        <f>L62</f>
        <v>0</v>
      </c>
      <c r="C53" s="22"/>
      <c r="D53" s="22"/>
      <c r="E53" s="22" t="s">
        <v>103</v>
      </c>
      <c r="F53" s="22">
        <f>SUM(B52+B53)+L69</f>
        <v>1</v>
      </c>
      <c r="G53" s="22"/>
      <c r="J53" s="22" t="s">
        <v>88</v>
      </c>
      <c r="K53" s="17">
        <f>B43*'[1]Supplier Prices'!E109</f>
        <v>0</v>
      </c>
      <c r="Q53" s="17"/>
    </row>
    <row r="54" spans="1:17">
      <c r="A54" s="22" t="s">
        <v>104</v>
      </c>
      <c r="B54" s="22">
        <f>2+L63</f>
        <v>2</v>
      </c>
      <c r="C54" s="22"/>
      <c r="D54" s="22"/>
      <c r="E54" s="22" t="s">
        <v>105</v>
      </c>
      <c r="F54" s="22">
        <f>F53*2+L70</f>
        <v>2</v>
      </c>
      <c r="G54" s="22"/>
      <c r="J54" s="19" t="s">
        <v>90</v>
      </c>
      <c r="K54" s="17">
        <f>B45*'[1]Supplier Prices'!E110/100</f>
        <v>1.44E-2</v>
      </c>
      <c r="Q54" s="17"/>
    </row>
    <row r="55" spans="1:17">
      <c r="A55" s="22" t="s">
        <v>106</v>
      </c>
      <c r="B55" s="22">
        <f>IF(AND('[1]Job details'!$B$12&gt;4000,'[1]Job details'!$B$13&gt;4000),3,IF('[1]Job details'!B13&gt;4000,2,IF('[1]Job details'!$B$12&gt;4000,1,0)))+L64</f>
        <v>1</v>
      </c>
      <c r="C55" s="22"/>
      <c r="D55" s="22"/>
      <c r="E55" s="22" t="s">
        <v>107</v>
      </c>
      <c r="F55" s="22">
        <f>F53*2+L71</f>
        <v>2</v>
      </c>
      <c r="G55" s="22"/>
      <c r="J55" s="22" t="s">
        <v>93</v>
      </c>
      <c r="K55" s="17">
        <f>B47*'[1]Supplier Prices'!E123</f>
        <v>0</v>
      </c>
      <c r="M55" s="2">
        <v>0.1</v>
      </c>
      <c r="N55" s="2">
        <f>M55*B47</f>
        <v>0</v>
      </c>
      <c r="Q55" s="17"/>
    </row>
    <row r="56" spans="1:17">
      <c r="A56" s="22" t="s">
        <v>108</v>
      </c>
      <c r="B56" s="22">
        <f>ROUND(B51*(4000/800),0)+L65</f>
        <v>10</v>
      </c>
      <c r="C56" s="22"/>
      <c r="D56" s="22"/>
      <c r="E56" s="22" t="s">
        <v>109</v>
      </c>
      <c r="F56" s="22">
        <f>IF(AND('[1]Job details'!$I$7=1,'[1]Job details'!$I$11=2),'Idiot List'!F53,0)+L72</f>
        <v>1</v>
      </c>
      <c r="G56" s="22"/>
      <c r="H56" s="27" t="s">
        <v>110</v>
      </c>
      <c r="I56" s="2">
        <v>21.88</v>
      </c>
      <c r="J56" s="22" t="s">
        <v>94</v>
      </c>
      <c r="K56" s="17">
        <f>B48*'[1]Supplier Prices'!E133</f>
        <v>0</v>
      </c>
      <c r="Q56" s="17"/>
    </row>
    <row r="57" spans="1:17">
      <c r="A57" s="22" t="s">
        <v>111</v>
      </c>
      <c r="B57" s="22">
        <f>IF(OR('[1]Job details'!$I$3=6,'[1]Job details'!$I$3=9,'[1]Job details'!$I$3=10),1,IF(OR('[1]Job details'!$I$3=1,'[1]Job details'!$I$3=7,'[1]Job details'!$I$3=11),2,IF(OR('[1]Job details'!$I$3=8),3,0)))+L66</f>
        <v>0</v>
      </c>
      <c r="C57" s="22"/>
      <c r="D57" s="22"/>
      <c r="E57" s="22" t="s">
        <v>112</v>
      </c>
      <c r="F57" s="22">
        <f>F53+L73</f>
        <v>1</v>
      </c>
      <c r="G57" s="22"/>
      <c r="J57" s="22" t="s">
        <v>95</v>
      </c>
      <c r="K57" s="17">
        <f>B49*0.5</f>
        <v>0</v>
      </c>
      <c r="Q57" s="17"/>
    </row>
    <row r="58" spans="1:17">
      <c r="A58" s="22" t="s">
        <v>113</v>
      </c>
      <c r="B58" s="22">
        <f>ROUNDUP(IF(C58="yes",I8/2500,0),0)+L74</f>
        <v>0</v>
      </c>
      <c r="C58" s="22" t="s">
        <v>114</v>
      </c>
      <c r="D58" s="22"/>
      <c r="E58" s="2" t="s">
        <v>115</v>
      </c>
      <c r="F58" s="22">
        <f>ROUNDUP(IF(G58="yes",I9/600,0),0)+L59</f>
        <v>0</v>
      </c>
      <c r="G58" s="2" t="s">
        <v>114</v>
      </c>
      <c r="J58" s="22" t="s">
        <v>116</v>
      </c>
      <c r="K58" s="17">
        <f>'Idiot List'!B59*'[1]Supplier Prices'!E99</f>
        <v>0</v>
      </c>
      <c r="M58" s="2">
        <v>0.2</v>
      </c>
      <c r="N58" s="2">
        <f>M58*B59</f>
        <v>0</v>
      </c>
      <c r="P58" s="28">
        <f>SUM(K49:K58)</f>
        <v>10.664400000000001</v>
      </c>
      <c r="Q58" s="17"/>
    </row>
    <row r="59" spans="1:17">
      <c r="A59" s="22" t="s">
        <v>116</v>
      </c>
      <c r="B59" s="38">
        <f>IF(OR('[1]Job details'!I4=1,'[1]Job details'!I4=4),0,ROUNDUP(('[1]Job details'!B29*2)/500,0)+L58)</f>
        <v>0</v>
      </c>
      <c r="C59" s="22"/>
      <c r="D59" s="22"/>
      <c r="E59" s="22" t="s">
        <v>117</v>
      </c>
      <c r="F59" s="22">
        <f>ROUNDUP(('[1]Job details'!E31/10)+('[1]Job details'!E32/10),0)</f>
        <v>0</v>
      </c>
      <c r="J59" s="22" t="s">
        <v>115</v>
      </c>
      <c r="K59" s="28">
        <f>'[1]Supplier Prices'!E84*F58</f>
        <v>0</v>
      </c>
      <c r="Q59" s="17"/>
    </row>
    <row r="60" spans="1:17">
      <c r="J60" s="22" t="s">
        <v>98</v>
      </c>
      <c r="K60" s="17">
        <f>IF('[1]Job details'!$I$7=3,'[1]Supplier Prices'!E73*'Idiot List'!B51,'[1]Supplier Prices'!E69*'Idiot List'!B51)</f>
        <v>16.905000000000001</v>
      </c>
      <c r="M60" s="2">
        <v>2.6</v>
      </c>
      <c r="N60" s="2">
        <f t="shared" ref="N60:N66" si="3">M60*B51</f>
        <v>5.2</v>
      </c>
      <c r="Q60" s="17"/>
    </row>
    <row r="61" spans="1:17">
      <c r="A61" s="2" t="s">
        <v>118</v>
      </c>
      <c r="B61" s="2">
        <f>'[1]Job details'!E28</f>
        <v>0</v>
      </c>
      <c r="J61" s="22" t="s">
        <v>100</v>
      </c>
      <c r="K61" s="17">
        <f>IF('[1]Job details'!$I$7=3,'[1]Supplier Prices'!E81*'Idiot List'!B52,'[1]Supplier Prices'!E71*'Idiot List'!B52)</f>
        <v>2.6460000000000004</v>
      </c>
      <c r="M61" s="2">
        <v>0.25</v>
      </c>
      <c r="N61" s="2">
        <f t="shared" si="3"/>
        <v>0.25</v>
      </c>
      <c r="Q61" s="17"/>
    </row>
    <row r="62" spans="1:17">
      <c r="A62" s="2" t="s">
        <v>119</v>
      </c>
      <c r="B62" s="2">
        <f>'[1]Job details'!E29</f>
        <v>0</v>
      </c>
      <c r="J62" s="22" t="s">
        <v>102</v>
      </c>
      <c r="K62" s="17">
        <f>IF('[1]Job details'!$I$7=3,'[1]Supplier Prices'!E81*'Idiot List'!B53,'[1]Supplier Prices'!E72*'Idiot List'!B53)</f>
        <v>0</v>
      </c>
      <c r="M62" s="2">
        <v>0.2</v>
      </c>
      <c r="N62" s="2">
        <f t="shared" si="3"/>
        <v>0</v>
      </c>
      <c r="Q62" s="17"/>
    </row>
    <row r="63" spans="1:17">
      <c r="J63" s="22" t="s">
        <v>104</v>
      </c>
      <c r="K63" s="17">
        <f>IF('[1]Job details'!$I$7=3,'[1]Supplier Prices'!E79*'Idiot List'!B54,'[1]Supplier Prices'!E68*'Idiot List'!B54)</f>
        <v>2.8560000000000003</v>
      </c>
      <c r="M63" s="2">
        <v>0.2</v>
      </c>
      <c r="N63" s="2">
        <f t="shared" si="3"/>
        <v>0.4</v>
      </c>
      <c r="Q63" s="17"/>
    </row>
    <row r="64" spans="1:17">
      <c r="J64" s="22" t="s">
        <v>106</v>
      </c>
      <c r="K64" s="17">
        <f>IF('[1]Job details'!$I$7=3,'[1]Supplier Prices'!E83*'Idiot List'!B55,'[1]Supplier Prices'!E60*'Idiot List'!B55)</f>
        <v>1.9530000000000003</v>
      </c>
      <c r="M64" s="2">
        <v>0.15</v>
      </c>
      <c r="N64" s="2">
        <f t="shared" si="3"/>
        <v>0.15</v>
      </c>
      <c r="Q64" s="17"/>
    </row>
    <row r="65" spans="1:17">
      <c r="J65" s="22" t="s">
        <v>108</v>
      </c>
      <c r="K65" s="17">
        <f>IF('[1]Job details'!$I$7=3,'[1]Supplier Prices'!E77*'Idiot List'!B56,'[1]Supplier Prices'!E70*'Idiot List'!B56)</f>
        <v>6.9300000000000006</v>
      </c>
      <c r="M65" s="2">
        <v>0.05</v>
      </c>
      <c r="N65" s="2">
        <f t="shared" si="3"/>
        <v>0.5</v>
      </c>
      <c r="Q65" s="17"/>
    </row>
    <row r="66" spans="1:17">
      <c r="J66" s="22" t="s">
        <v>111</v>
      </c>
      <c r="K66" s="17">
        <f>IF('[1]Job details'!$I$7=3,'[1]Supplier Prices'!E74*'Idiot List'!B57,'[1]Supplier Prices'!E62*'Idiot List'!B57)</f>
        <v>0</v>
      </c>
      <c r="M66" s="2">
        <v>0.25</v>
      </c>
      <c r="N66" s="2">
        <f t="shared" si="3"/>
        <v>0</v>
      </c>
      <c r="Q66" s="17"/>
    </row>
    <row r="67" spans="1:17">
      <c r="J67" s="22" t="s">
        <v>120</v>
      </c>
      <c r="K67" s="17">
        <f>IF('[1]Job details'!$I$7=3,'[1]Supplier Prices'!E76*'Idiot List'!F51,'[1]Supplier Prices'!E62*'Idiot List'!F51)</f>
        <v>0</v>
      </c>
      <c r="M67" s="2">
        <v>0.15</v>
      </c>
      <c r="N67" s="2">
        <f>M67*F51</f>
        <v>0</v>
      </c>
      <c r="Q67" s="17"/>
    </row>
    <row r="68" spans="1:17">
      <c r="J68" s="22" t="s">
        <v>101</v>
      </c>
      <c r="K68" s="17">
        <f>IF('[1]Job details'!$I$7=3,'[1]Supplier Prices'!E75*'Idiot List'!F52,'[1]Supplier Prices'!E61*'Idiot List'!F52)</f>
        <v>0</v>
      </c>
      <c r="M68" s="2">
        <v>0.25</v>
      </c>
      <c r="N68" s="2">
        <f>M68*F52</f>
        <v>0</v>
      </c>
      <c r="Q68" s="17"/>
    </row>
    <row r="69" spans="1:17">
      <c r="J69" s="22" t="s">
        <v>103</v>
      </c>
      <c r="K69" s="17">
        <f>'[1]Supplier Prices'!E65*'Idiot List'!F53</f>
        <v>6.2685000000000004</v>
      </c>
      <c r="Q69" s="17"/>
    </row>
    <row r="70" spans="1:17" ht="13.5" thickBot="1">
      <c r="J70" s="22" t="s">
        <v>105</v>
      </c>
      <c r="K70" s="17">
        <f>'[1]Supplier Prices'!E63*'Idiot List'!F54</f>
        <v>3.4649999999999999</v>
      </c>
      <c r="Q70" s="17"/>
    </row>
    <row r="71" spans="1:17" ht="13.5" thickBot="1">
      <c r="J71" s="22" t="s">
        <v>107</v>
      </c>
      <c r="K71" s="45">
        <f>'[1]Supplier Prices'!E66*'Idiot List'!F55</f>
        <v>1.1760000000000002</v>
      </c>
      <c r="Q71" s="17"/>
    </row>
    <row r="72" spans="1:17">
      <c r="J72" s="22" t="s">
        <v>109</v>
      </c>
      <c r="K72" s="17">
        <f>'[1]Supplier Prices'!E64*'Idiot List'!F56</f>
        <v>2.6670000000000003</v>
      </c>
      <c r="Q72" s="17"/>
    </row>
    <row r="73" spans="1:17">
      <c r="A73" s="2" t="s">
        <v>121</v>
      </c>
      <c r="B73" s="2">
        <f>'[1]Job details'!B28/1000</f>
        <v>4.91</v>
      </c>
      <c r="J73" s="22" t="s">
        <v>112</v>
      </c>
      <c r="K73" s="17">
        <f>'[1]Supplier Prices'!E67*'Idiot List'!F57</f>
        <v>2.0265</v>
      </c>
      <c r="P73" s="46">
        <f>SUM(K59:K73)</f>
        <v>46.893000000000001</v>
      </c>
      <c r="Q73" s="17"/>
    </row>
    <row r="74" spans="1:17">
      <c r="A74" s="2" t="s">
        <v>122</v>
      </c>
      <c r="B74" s="29">
        <f>ROUNDUP('[1]Job details'!B45/1000-'[1]Job details'!B35/1000,1)</f>
        <v>5.0999999999999996</v>
      </c>
      <c r="C74" s="2" t="s">
        <v>123</v>
      </c>
      <c r="J74" s="2" t="s">
        <v>124</v>
      </c>
      <c r="K74" s="17">
        <f>'[1]Supplier Prices'!E151*B58</f>
        <v>0</v>
      </c>
      <c r="P74" s="46"/>
      <c r="Q74" s="17"/>
    </row>
    <row r="75" spans="1:17">
      <c r="A75" s="2" t="s">
        <v>125</v>
      </c>
      <c r="B75" s="29">
        <f>'[1]Job details'!B35/1000</f>
        <v>0</v>
      </c>
      <c r="C75" s="2" t="s">
        <v>123</v>
      </c>
      <c r="J75" s="2" t="s">
        <v>126</v>
      </c>
      <c r="K75" s="17">
        <f>B74*'[1]Supplier Prices'!L6</f>
        <v>41.631756113947858</v>
      </c>
      <c r="M75" s="2">
        <f>'[1]Supplier Prices'!N6</f>
        <v>5.2</v>
      </c>
      <c r="N75" s="36">
        <f>M75*B74</f>
        <v>26.52</v>
      </c>
      <c r="Q75" s="17"/>
    </row>
    <row r="76" spans="1:17">
      <c r="A76" s="2" t="s">
        <v>127</v>
      </c>
      <c r="B76" s="21">
        <f>IF('[1]Job details'!I3=5,ROUNDUP(('[1]Job details'!B12+140)/665,0),IF(OR('[1]Job details'!I3=6,'[1]Job details'!I3=7),ROUNDUP('[1]Job details'!B28/665,0),0))+L77</f>
        <v>9</v>
      </c>
      <c r="C76" s="2" t="s">
        <v>31</v>
      </c>
      <c r="D76" s="21">
        <f>B76*[1]Geometry!B7/1000</f>
        <v>29.16373000215204</v>
      </c>
      <c r="E76" s="2" t="s">
        <v>128</v>
      </c>
      <c r="J76" s="2" t="s">
        <v>125</v>
      </c>
      <c r="K76" s="17">
        <f>B75*'[1]Supplier Prices'!M39</f>
        <v>0</v>
      </c>
      <c r="M76" s="35">
        <f>'[1]Supplier Prices'!N39</f>
        <v>12.05</v>
      </c>
      <c r="N76" s="36">
        <f>M76*B75</f>
        <v>0</v>
      </c>
      <c r="Q76" s="17"/>
    </row>
    <row r="77" spans="1:17">
      <c r="A77" s="2" t="s">
        <v>129</v>
      </c>
      <c r="B77" s="47">
        <f>'[1]Job details'!B34/1000</f>
        <v>0</v>
      </c>
      <c r="C77" s="2" t="s">
        <v>123</v>
      </c>
      <c r="J77" s="2" t="s">
        <v>127</v>
      </c>
      <c r="K77" s="17">
        <f>B76*'[1]Supplier Prices'!M47*[1]Geometry!B7/1000</f>
        <v>245.72562196412241</v>
      </c>
      <c r="L77" s="2">
        <v>1</v>
      </c>
      <c r="M77" s="48">
        <f>'[1]Supplier Prices'!N24</f>
        <v>8.6660000000000004</v>
      </c>
      <c r="N77" s="36">
        <f>M77*B77</f>
        <v>0</v>
      </c>
      <c r="Q77" s="17"/>
    </row>
    <row r="78" spans="1:17">
      <c r="A78" s="2" t="s">
        <v>130</v>
      </c>
      <c r="B78" s="2">
        <f>IF('[1]Job details'!$G$81=TRUE,IF($B$77&lt;&gt;0,1,0),0)+L79</f>
        <v>0</v>
      </c>
      <c r="C78" s="2" t="s">
        <v>31</v>
      </c>
      <c r="J78" s="2" t="s">
        <v>129</v>
      </c>
      <c r="K78" s="17">
        <f>B77*'[1]Supplier Prices'!M24</f>
        <v>0</v>
      </c>
      <c r="N78" s="36"/>
      <c r="Q78" s="17"/>
    </row>
    <row r="79" spans="1:17">
      <c r="A79" s="2" t="s">
        <v>131</v>
      </c>
      <c r="B79" s="2">
        <f>IF('[1]Job details'!$G$81=TRUE,IF($B$77&lt;&gt;0,1,0),0)+L80</f>
        <v>0</v>
      </c>
      <c r="C79" s="2" t="s">
        <v>31</v>
      </c>
      <c r="J79" s="2" t="s">
        <v>130</v>
      </c>
      <c r="K79" s="17">
        <f>B78*'[1]Supplier Prices'!$E$116</f>
        <v>0</v>
      </c>
      <c r="N79" s="36"/>
      <c r="Q79" s="17"/>
    </row>
    <row r="80" spans="1:17">
      <c r="A80" s="2" t="s">
        <v>132</v>
      </c>
      <c r="B80" s="21">
        <f>'[1]Job details'!B31</f>
        <v>0</v>
      </c>
      <c r="C80" s="2" t="s">
        <v>123</v>
      </c>
      <c r="J80" s="2" t="s">
        <v>131</v>
      </c>
      <c r="K80" s="17">
        <f>B79*'[1]Supplier Prices'!$E$117</f>
        <v>0</v>
      </c>
      <c r="N80" s="36"/>
      <c r="Q80" s="17"/>
    </row>
    <row r="81" spans="1:17" ht="13.5" thickBot="1">
      <c r="J81" s="2" t="s">
        <v>132</v>
      </c>
      <c r="K81" s="17">
        <f>'[1]Supplier Prices'!M60*B80</f>
        <v>0</v>
      </c>
      <c r="M81" s="35">
        <f>'[1]Supplier Prices'!N60</f>
        <v>5.2</v>
      </c>
      <c r="N81" s="36"/>
      <c r="Q81" s="17"/>
    </row>
    <row r="82" spans="1:17" ht="13.5" thickBot="1">
      <c r="A82" s="2" t="s">
        <v>133</v>
      </c>
      <c r="B82" s="49">
        <f>HLOOKUP(B5,[1]Geometry!$B$24:$L$50,17,FALSE)/1000+HLOOKUP(B5,[1]Geometry!$B$24:$L$50,18,FALSE)/1000+L83</f>
        <v>0</v>
      </c>
      <c r="C82" s="2" t="s">
        <v>134</v>
      </c>
      <c r="F82" s="21">
        <f>I22</f>
        <v>0</v>
      </c>
      <c r="J82" s="2" t="s">
        <v>121</v>
      </c>
      <c r="K82" s="28">
        <f>B73*'[1]Supplier Prices'!M47</f>
        <v>41.370318671679193</v>
      </c>
      <c r="Q82" s="17"/>
    </row>
    <row r="83" spans="1:17">
      <c r="J83" s="2" t="s">
        <v>133</v>
      </c>
      <c r="K83" s="17">
        <f>B82*'[1]Supplier Prices'!M52+L83</f>
        <v>0</v>
      </c>
      <c r="M83" s="2">
        <f>M87</f>
        <v>3.3</v>
      </c>
      <c r="N83" s="36">
        <f>M83*B82</f>
        <v>0</v>
      </c>
      <c r="Q83" s="17"/>
    </row>
    <row r="84" spans="1:17">
      <c r="A84" s="2" t="s">
        <v>135</v>
      </c>
      <c r="B84" s="2">
        <f>B15+L85</f>
        <v>0</v>
      </c>
      <c r="C84" s="2" t="s">
        <v>31</v>
      </c>
      <c r="Q84" s="17"/>
    </row>
    <row r="85" spans="1:17" ht="13.5" thickBot="1">
      <c r="A85" s="2" t="s">
        <v>136</v>
      </c>
      <c r="B85" s="2">
        <f>B84+L86</f>
        <v>0</v>
      </c>
      <c r="C85" s="2" t="s">
        <v>31</v>
      </c>
      <c r="J85" s="2" t="s">
        <v>135</v>
      </c>
      <c r="K85" s="17">
        <f>B84*'[1]Supplier Prices'!E129</f>
        <v>0</v>
      </c>
      <c r="M85" s="2">
        <v>0.25</v>
      </c>
      <c r="N85" s="36">
        <f t="shared" ref="N85:N90" si="4">M85*B84</f>
        <v>0</v>
      </c>
      <c r="Q85" s="17"/>
    </row>
    <row r="86" spans="1:17" ht="13.5" thickBot="1">
      <c r="A86" s="2" t="s">
        <v>137</v>
      </c>
      <c r="B86" s="49">
        <f>HLOOKUP(B5,[1]Geometry!$B$24:$L$50,11,FALSE)/1000+L87</f>
        <v>0</v>
      </c>
      <c r="C86" s="2" t="s">
        <v>134</v>
      </c>
      <c r="J86" s="2" t="s">
        <v>136</v>
      </c>
      <c r="K86" s="17">
        <f>B85*'[1]Supplier Prices'!E130</f>
        <v>0</v>
      </c>
      <c r="M86" s="2">
        <v>0.25</v>
      </c>
      <c r="N86" s="36">
        <f t="shared" si="4"/>
        <v>0</v>
      </c>
      <c r="Q86" s="17"/>
    </row>
    <row r="87" spans="1:17">
      <c r="A87" s="2" t="s">
        <v>138</v>
      </c>
      <c r="B87" s="2">
        <f>IF(OR('[1]Job details'!I3=1,'[1]Job details'!I3=8),6,IF('[1]Job details'!I3=3,([1]Geometry!C35+[1]Geometry!C36)*2,IF('[1]Job details'!I3=11,12,IF('[1]Job details'!I3=6,2,IF('[1]Job details'!I3=7,4,0)))))+L88</f>
        <v>0</v>
      </c>
      <c r="C87" s="2" t="s">
        <v>31</v>
      </c>
      <c r="J87" s="2" t="s">
        <v>137</v>
      </c>
      <c r="K87" s="17">
        <f>B86*'[1]Supplier Prices'!M52</f>
        <v>0</v>
      </c>
      <c r="M87" s="2">
        <v>3.3</v>
      </c>
      <c r="N87" s="36">
        <f t="shared" si="4"/>
        <v>0</v>
      </c>
      <c r="Q87" s="17"/>
    </row>
    <row r="88" spans="1:17">
      <c r="A88" s="2" t="s">
        <v>139</v>
      </c>
      <c r="B88" s="2">
        <f>IF(OR('[1]Job details'!$I$3=2,'[1]Job details'!$I$3=5),0,IF(OR('[1]Job details'!$I$3=11,'[1]Job details'!$I$3=7),2,1))+L89</f>
        <v>0</v>
      </c>
      <c r="C88" s="2" t="s">
        <v>31</v>
      </c>
      <c r="J88" s="2" t="s">
        <v>138</v>
      </c>
      <c r="K88" s="17">
        <f>B87*'[1]Supplier Prices'!E126</f>
        <v>0</v>
      </c>
      <c r="M88" s="2">
        <v>0.25</v>
      </c>
      <c r="N88" s="36">
        <f t="shared" si="4"/>
        <v>0</v>
      </c>
      <c r="Q88" s="17"/>
    </row>
    <row r="89" spans="1:17">
      <c r="A89" s="22" t="s">
        <v>140</v>
      </c>
      <c r="B89" s="22">
        <f>IF('[1]Job details'!$I$3=5,ROUNDUP('[1]Job details'!B12/665,0)+1,IF(OR('[1]Job details'!$I$3=6,'[1]Job details'!$I$3=7),ROUNDUP('[1]Job details'!B28/665,0),0))+L90</f>
        <v>9</v>
      </c>
      <c r="J89" s="2" t="s">
        <v>139</v>
      </c>
      <c r="K89" s="17">
        <f>B88*'[1]Supplier Prices'!E132</f>
        <v>0</v>
      </c>
      <c r="M89" s="2">
        <v>0.5</v>
      </c>
      <c r="N89" s="36">
        <f t="shared" si="4"/>
        <v>0</v>
      </c>
      <c r="Q89" s="17"/>
    </row>
    <row r="90" spans="1:17">
      <c r="J90" s="2" t="s">
        <v>140</v>
      </c>
      <c r="K90" s="17">
        <f>B89*'[1]Supplier Prices'!$E$85</f>
        <v>4.41</v>
      </c>
      <c r="M90" s="2">
        <v>0.25</v>
      </c>
      <c r="N90" s="36">
        <f t="shared" si="4"/>
        <v>2.25</v>
      </c>
      <c r="Q90" s="17"/>
    </row>
    <row r="91" spans="1:17">
      <c r="A91" s="2" t="s">
        <v>141</v>
      </c>
      <c r="B91" s="2">
        <f>+L92</f>
        <v>0</v>
      </c>
      <c r="C91" s="2" t="s">
        <v>31</v>
      </c>
      <c r="Q91" s="17"/>
    </row>
    <row r="92" spans="1:17">
      <c r="J92" s="2" t="s">
        <v>141</v>
      </c>
      <c r="K92" s="17">
        <f>B91*'[1]Supplier Prices'!$E$131</f>
        <v>0</v>
      </c>
      <c r="M92" s="2">
        <v>0.25</v>
      </c>
      <c r="N92" s="2">
        <f>M92*B91</f>
        <v>0</v>
      </c>
      <c r="P92" s="28">
        <f>SUM(K75:K92)</f>
        <v>333.13769674974947</v>
      </c>
      <c r="Q92" s="17"/>
    </row>
    <row r="93" spans="1:17">
      <c r="Q93" s="17"/>
    </row>
    <row r="94" spans="1:17">
      <c r="A94" s="2" t="s">
        <v>142</v>
      </c>
      <c r="B94" s="2">
        <v>2.95</v>
      </c>
      <c r="J94" s="2" t="s">
        <v>143</v>
      </c>
      <c r="K94" s="2" t="s">
        <v>144</v>
      </c>
      <c r="L94" s="2" t="s">
        <v>145</v>
      </c>
      <c r="M94" s="2" t="s">
        <v>146</v>
      </c>
      <c r="Q94" s="17"/>
    </row>
    <row r="95" spans="1:17">
      <c r="A95" s="2" t="s">
        <v>147</v>
      </c>
      <c r="B95" s="2">
        <v>2.33</v>
      </c>
      <c r="I95" s="50">
        <f t="shared" ref="I95:I107" si="5">L95/K95</f>
        <v>1.0399334442595674</v>
      </c>
      <c r="J95" s="2" t="s">
        <v>148</v>
      </c>
      <c r="K95" s="28">
        <v>24.04</v>
      </c>
      <c r="L95" s="28">
        <v>25</v>
      </c>
      <c r="Q95" s="17"/>
    </row>
    <row r="96" spans="1:17" ht="15">
      <c r="A96" s="2" t="s">
        <v>149</v>
      </c>
      <c r="B96" s="29">
        <f>HLOOKUP(B5,[1]Geometry!$B$24:$L$50,27,FALSE)/1000</f>
        <v>0</v>
      </c>
      <c r="I96" s="50">
        <f t="shared" si="5"/>
        <v>1.3942140118508191</v>
      </c>
      <c r="J96" t="s">
        <v>150</v>
      </c>
      <c r="K96" s="17">
        <v>200.83</v>
      </c>
      <c r="L96" s="17">
        <v>280</v>
      </c>
      <c r="M96" s="2">
        <v>20</v>
      </c>
      <c r="Q96" s="17"/>
    </row>
    <row r="97" spans="1:17" ht="15">
      <c r="A97" s="2" t="s">
        <v>151</v>
      </c>
      <c r="B97" s="29">
        <f>(B96+B86+B82+D76)*0.1</f>
        <v>2.916373000215204</v>
      </c>
      <c r="I97" s="50">
        <f t="shared" si="5"/>
        <v>1.4064697609001406</v>
      </c>
      <c r="J97" t="s">
        <v>152</v>
      </c>
      <c r="K97" s="17">
        <v>213.3</v>
      </c>
      <c r="L97" s="17">
        <v>300</v>
      </c>
      <c r="M97" s="2">
        <v>25</v>
      </c>
      <c r="Q97" s="17"/>
    </row>
    <row r="98" spans="1:17" ht="15.75" thickBot="1">
      <c r="A98" s="2" t="s">
        <v>153</v>
      </c>
      <c r="B98" s="51">
        <f>B96+B86+B82+D76+B97</f>
        <v>32.080103002367245</v>
      </c>
      <c r="I98" s="50">
        <f t="shared" si="5"/>
        <v>1.3880454584887656</v>
      </c>
      <c r="J98" t="s">
        <v>154</v>
      </c>
      <c r="K98" s="17">
        <v>230.54</v>
      </c>
      <c r="L98" s="17">
        <v>320</v>
      </c>
      <c r="M98" s="2">
        <v>32</v>
      </c>
      <c r="Q98" s="17"/>
    </row>
    <row r="99" spans="1:17" ht="15.75" thickTop="1">
      <c r="A99" s="2" t="s">
        <v>155</v>
      </c>
      <c r="B99" s="29">
        <f>(B82+B86)*B95</f>
        <v>0</v>
      </c>
      <c r="I99" s="50">
        <f t="shared" si="5"/>
        <v>1.4008218154650729</v>
      </c>
      <c r="J99" t="s">
        <v>156</v>
      </c>
      <c r="K99" s="17">
        <v>214.16</v>
      </c>
      <c r="L99" s="17">
        <v>300</v>
      </c>
      <c r="M99" s="2">
        <f>M96</f>
        <v>20</v>
      </c>
      <c r="Q99" s="17"/>
    </row>
    <row r="100" spans="1:17" ht="15">
      <c r="I100" s="50">
        <f t="shared" si="5"/>
        <v>1.4056665934548649</v>
      </c>
      <c r="J100" t="s">
        <v>157</v>
      </c>
      <c r="K100" s="17">
        <v>227.65</v>
      </c>
      <c r="L100" s="17">
        <v>320</v>
      </c>
      <c r="M100" s="2">
        <f>M97</f>
        <v>25</v>
      </c>
      <c r="Q100" s="17"/>
    </row>
    <row r="101" spans="1:17" ht="15">
      <c r="A101" s="2" t="s">
        <v>158</v>
      </c>
      <c r="B101" s="28">
        <f>'[1]Supplier Prices'!M62</f>
        <v>0</v>
      </c>
      <c r="I101" s="50">
        <f t="shared" si="5"/>
        <v>1.3754045307443366</v>
      </c>
      <c r="J101" t="s">
        <v>159</v>
      </c>
      <c r="K101" s="17">
        <v>247.2</v>
      </c>
      <c r="L101" s="17">
        <v>340</v>
      </c>
      <c r="M101" s="2">
        <f>M98</f>
        <v>32</v>
      </c>
      <c r="Q101" s="17"/>
    </row>
    <row r="102" spans="1:17" ht="15">
      <c r="I102" s="50">
        <f t="shared" si="5"/>
        <v>1.3075100106235187</v>
      </c>
      <c r="J102" t="s">
        <v>160</v>
      </c>
      <c r="K102" s="17">
        <v>244.74</v>
      </c>
      <c r="L102" s="17">
        <v>320</v>
      </c>
      <c r="M102" s="2">
        <f>M96</f>
        <v>20</v>
      </c>
      <c r="Q102" s="17"/>
    </row>
    <row r="103" spans="1:17" ht="15">
      <c r="I103" s="50">
        <f t="shared" si="5"/>
        <v>1.3078432126783859</v>
      </c>
      <c r="J103" t="s">
        <v>161</v>
      </c>
      <c r="K103" s="17">
        <v>259.97000000000003</v>
      </c>
      <c r="L103" s="17">
        <v>340</v>
      </c>
      <c r="M103" s="2">
        <f>M97</f>
        <v>25</v>
      </c>
      <c r="Q103" s="17"/>
    </row>
    <row r="104" spans="1:17" ht="15">
      <c r="I104" s="50">
        <f t="shared" si="5"/>
        <v>1.2503473186996388</v>
      </c>
      <c r="J104" t="s">
        <v>162</v>
      </c>
      <c r="K104" s="17">
        <v>287.92</v>
      </c>
      <c r="L104" s="17">
        <v>360</v>
      </c>
      <c r="M104" s="2">
        <f>M98</f>
        <v>32</v>
      </c>
      <c r="Q104" s="17"/>
    </row>
    <row r="105" spans="1:17" ht="15">
      <c r="I105" s="50">
        <f t="shared" si="5"/>
        <v>1.25</v>
      </c>
      <c r="J105" t="s">
        <v>163</v>
      </c>
      <c r="K105" s="17">
        <v>11</v>
      </c>
      <c r="L105" s="17">
        <v>13.75</v>
      </c>
      <c r="Q105" s="17"/>
    </row>
    <row r="106" spans="1:17" ht="15">
      <c r="I106" s="50">
        <f t="shared" si="5"/>
        <v>1.2</v>
      </c>
      <c r="J106" t="s">
        <v>164</v>
      </c>
      <c r="K106" s="17">
        <v>120</v>
      </c>
      <c r="L106" s="17">
        <v>144</v>
      </c>
      <c r="Q106" s="17"/>
    </row>
    <row r="107" spans="1:17" ht="15">
      <c r="I107" s="50">
        <f t="shared" si="5"/>
        <v>1.2000284030391251</v>
      </c>
      <c r="J107" t="s">
        <v>165</v>
      </c>
      <c r="K107" s="17">
        <v>140.83000000000001</v>
      </c>
      <c r="L107" s="17">
        <v>169</v>
      </c>
      <c r="Q107" s="17"/>
    </row>
    <row r="108" spans="1:17" ht="15">
      <c r="J108" t="s">
        <v>166</v>
      </c>
      <c r="K108" s="2">
        <v>0</v>
      </c>
      <c r="L108" s="2">
        <v>0</v>
      </c>
      <c r="Q108" s="17"/>
    </row>
    <row r="109" spans="1:17" ht="15">
      <c r="J109"/>
      <c r="Q109" s="17"/>
    </row>
    <row r="110" spans="1:17">
      <c r="J110" s="2" t="s">
        <v>167</v>
      </c>
      <c r="K110" s="17">
        <f>IF(F10&lt;&gt;0,VLOOKUP(E9,$J$96:$L$108,3,FALSE)*F10+L95+L105*'[1]Job details'!F24+'Idiot List'!L106*'[1]Job details'!F25+'Idiot List'!L107*'[1]Job details'!F23,0)</f>
        <v>0</v>
      </c>
      <c r="L110" s="2" t="s">
        <v>12</v>
      </c>
      <c r="N110" s="48">
        <f>VLOOKUP($E$9,$J$96:$N$108,4,FALSE)*F10</f>
        <v>0</v>
      </c>
      <c r="Q110" s="17"/>
    </row>
    <row r="111" spans="1:17">
      <c r="J111" s="2" t="s">
        <v>168</v>
      </c>
      <c r="K111" s="17">
        <f>IF(F10&lt;&gt;0,VLOOKUP(E9,$J$96:$L$108,2,FALSE)*F10+K95+K105*'[1]Job details'!F24+'Idiot List'!K106*'[1]Job details'!F25+'Idiot List'!K107*'[1]Job details'!F23,0)</f>
        <v>0</v>
      </c>
      <c r="Q111" s="17"/>
    </row>
    <row r="112" spans="1:17">
      <c r="M112" s="2" t="s">
        <v>169</v>
      </c>
      <c r="N112" s="21">
        <f>SUM(N8:N107)</f>
        <v>363.73799999999994</v>
      </c>
      <c r="Q112" s="17"/>
    </row>
    <row r="113" spans="13:17">
      <c r="Q113" s="17"/>
    </row>
    <row r="114" spans="13:17">
      <c r="Q114" s="17"/>
    </row>
    <row r="115" spans="13:17">
      <c r="Q115" s="17"/>
    </row>
    <row r="116" spans="13:17">
      <c r="Q116" s="17"/>
    </row>
    <row r="117" spans="13:17">
      <c r="Q117" s="17"/>
    </row>
    <row r="118" spans="13:17">
      <c r="M118" s="2" t="s">
        <v>38</v>
      </c>
      <c r="N118" s="28">
        <f>'[1]Supplier Prices'!E29</f>
        <v>78.900000000000006</v>
      </c>
      <c r="Q118" s="17"/>
    </row>
    <row r="119" spans="13:17">
      <c r="M119" s="2" t="s">
        <v>170</v>
      </c>
      <c r="N119" s="28">
        <f>'[1]Supplier Prices'!E30</f>
        <v>96.6</v>
      </c>
      <c r="Q119" s="17"/>
    </row>
    <row r="120" spans="13:17">
      <c r="Q120" s="17"/>
    </row>
    <row r="122" spans="13:17">
      <c r="M122" s="2" t="s">
        <v>171</v>
      </c>
    </row>
    <row r="123" spans="13:17">
      <c r="M123" s="2" t="s">
        <v>114</v>
      </c>
    </row>
  </sheetData>
  <mergeCells count="7">
    <mergeCell ref="F3:G3"/>
    <mergeCell ref="B4:D4"/>
    <mergeCell ref="F4:G4"/>
    <mergeCell ref="B5:D5"/>
    <mergeCell ref="F5:G5"/>
    <mergeCell ref="B6:D6"/>
    <mergeCell ref="F6:G6"/>
  </mergeCells>
  <dataValidations count="3">
    <dataValidation type="list" allowBlank="1" showInputMessage="1" showErrorMessage="1" sqref="G58">
      <formula1>$M$122:$M$123</formula1>
    </dataValidation>
    <dataValidation type="list" showInputMessage="1" showErrorMessage="1" sqref="C58">
      <formula1>$M$122:$M$123</formula1>
    </dataValidation>
    <dataValidation type="list" allowBlank="1" showInputMessage="1" showErrorMessage="1" sqref="C17">
      <formula1>$M$118:$M$119</formula1>
    </dataValidation>
  </dataValidations>
  <pageMargins left="0.23622047244094491" right="0.23622047244094491" top="0.74803149606299213" bottom="0.74803149606299213" header="0.31496062992125984" footer="0.31496062992125984"/>
  <pageSetup paperSize="9" scale="97" orientation="portrait" verticalDpi="300" r:id="rId1"/>
  <headerFooter>
    <oddFooter xml:space="preserve">&amp;LSign.....................................
&amp;RDate...........................................
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Idiot List</vt:lpstr>
      <vt:lpstr>'Idiot List'!Print_Area</vt:lpstr>
    </vt:vector>
  </TitlesOfParts>
  <Company>Organisation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2025-09-29T14:26:23Z</dcterms:created>
  <dcterms:modified xsi:type="dcterms:W3CDTF">2025-09-29T14:27:10Z</dcterms:modified>
</cp:coreProperties>
</file>